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anakiram\Documents\Data_Analytics_Portfolio\PROJECTS\SmartBiz_Pro\"/>
    </mc:Choice>
  </mc:AlternateContent>
  <xr:revisionPtr revIDLastSave="0" documentId="13_ncr:1_{1C222417-4299-4CEA-A89D-1F05631035F1}" xr6:coauthVersionLast="47" xr6:coauthVersionMax="47" xr10:uidLastSave="{00000000-0000-0000-0000-000000000000}"/>
  <bookViews>
    <workbookView xWindow="-110" yWindow="-110" windowWidth="19420" windowHeight="10300" firstSheet="9" activeTab="12" xr2:uid="{219D36D2-D1B9-4B03-A03C-6A6DBED5F789}"/>
  </bookViews>
  <sheets>
    <sheet name="HOME" sheetId="1" r:id="rId1"/>
    <sheet name="USER_GUIDE" sheetId="14" r:id="rId2"/>
    <sheet name="PRODUCTS_DB" sheetId="2" r:id="rId3"/>
    <sheet name="CUSTOMERS_DB" sheetId="3" r:id="rId4"/>
    <sheet name="SUPPLIERS_DB" sheetId="4" r:id="rId5"/>
    <sheet name="SALES_DB" sheetId="5" r:id="rId6"/>
    <sheet name="PURCHASE_DB" sheetId="6" r:id="rId7"/>
    <sheet name="INVENTORY" sheetId="7" r:id="rId8"/>
    <sheet name="INVOICE" sheetId="8" r:id="rId9"/>
    <sheet name="DASHBOARD" sheetId="9" r:id="rId10"/>
    <sheet name="REPORTS" sheetId="10" r:id="rId11"/>
    <sheet name="SETTINGS" sheetId="11" r:id="rId12"/>
    <sheet name="AUDIT_LOG" sheetId="12" r:id="rId13"/>
    <sheet name="LOOKUPS" sheetId="13" r:id="rId14"/>
  </sheets>
  <functionGroups builtInGroupCount="19"/>
  <definedNames>
    <definedName name="_xlnm.Print_Area" localSheetId="8">INVOICE!$B$2:$G$41</definedName>
  </definedNames>
  <calcPr calcId="191029"/>
  <pivotCaches>
    <pivotCache cacheId="5" r:id="rId15"/>
    <pivotCache cacheId="9"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3" i="9" l="1"/>
  <c r="J13" i="9"/>
  <c r="F13" i="9" a="1"/>
  <c r="F13" i="9" s="1"/>
  <c r="B13" i="9"/>
  <c r="N8" i="9"/>
  <c r="J8" i="9"/>
  <c r="F8" i="9"/>
  <c r="B8" i="9"/>
  <c r="B7" i="8"/>
  <c r="B10" i="8"/>
  <c r="B9" i="8"/>
  <c r="B8" i="8"/>
  <c r="B6" i="8"/>
  <c r="N7" i="7"/>
  <c r="P3" i="7"/>
  <c r="N3" i="7"/>
  <c r="L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<sst xmlns="http://schemas.openxmlformats.org/spreadsheetml/2006/main" count="514" uniqueCount="271">
  <si>
    <t>SMARTBIZ PRO</t>
  </si>
  <si>
    <t>Advanced Excel VBA Business Automation System</t>
  </si>
  <si>
    <t>Welcome to SmartBiz Pro</t>
  </si>
  <si>
    <t>SMARTBIZ PRO SETTINGS</t>
  </si>
  <si>
    <t>Company Name</t>
  </si>
  <si>
    <t>Company Address</t>
  </si>
  <si>
    <t>Phone</t>
  </si>
  <si>
    <t>Email</t>
  </si>
  <si>
    <t>GST / Tax Number</t>
  </si>
  <si>
    <t>Currency</t>
  </si>
  <si>
    <t>Tax Rate</t>
  </si>
  <si>
    <t>Invoice Prefix</t>
  </si>
  <si>
    <t>Reorder Alert Level</t>
  </si>
  <si>
    <t>SmartBiz Demo Pvt Ltd</t>
  </si>
  <si>
    <t>Hyderabad, India</t>
  </si>
  <si>
    <t>+91 9876543210</t>
  </si>
  <si>
    <t>info@smartbizdemo.com</t>
  </si>
  <si>
    <t>36ABCDE1234F1Z5</t>
  </si>
  <si>
    <t>₹</t>
  </si>
  <si>
    <t>INV</t>
  </si>
  <si>
    <t>Product_ID</t>
  </si>
  <si>
    <t>Product_Name</t>
  </si>
  <si>
    <t>Category</t>
  </si>
  <si>
    <t>Supplier_ID</t>
  </si>
  <si>
    <t>Purchase_Price</t>
  </si>
  <si>
    <t>Selling_Price</t>
  </si>
  <si>
    <t>Opening_Stock</t>
  </si>
  <si>
    <t>Current_Stock</t>
  </si>
  <si>
    <t>Reorder_Level</t>
  </si>
  <si>
    <t>SKU</t>
  </si>
  <si>
    <t>Status</t>
  </si>
  <si>
    <t>Created_Date</t>
  </si>
  <si>
    <t>Electronics</t>
  </si>
  <si>
    <t>Office Supplies</t>
  </si>
  <si>
    <t>Furniture</t>
  </si>
  <si>
    <t>Accessories</t>
  </si>
  <si>
    <t>Stationery</t>
  </si>
  <si>
    <t>Supplier_Name</t>
  </si>
  <si>
    <t>Contact_Person</t>
  </si>
  <si>
    <t>Address</t>
  </si>
  <si>
    <t>SUP-00001</t>
  </si>
  <si>
    <t>TechSource India</t>
  </si>
  <si>
    <t>Rahul Sharma</t>
  </si>
  <si>
    <t>sales@techsource.com</t>
  </si>
  <si>
    <t>Hyderabad</t>
  </si>
  <si>
    <t>Active</t>
  </si>
  <si>
    <t>PRD-00001</t>
  </si>
  <si>
    <t>Wireless Keyboard</t>
  </si>
  <si>
    <t>KB-WL-001</t>
  </si>
  <si>
    <t>Customer_ID</t>
  </si>
  <si>
    <t>Customer_Name</t>
  </si>
  <si>
    <t>Company</t>
  </si>
  <si>
    <t>City</t>
  </si>
  <si>
    <t>Customer_Type</t>
  </si>
  <si>
    <t>CUS-00001</t>
  </si>
  <si>
    <t>Arjun Enterprises</t>
  </si>
  <si>
    <t>arjun@example.com</t>
  </si>
  <si>
    <t>Madhapur</t>
  </si>
  <si>
    <t>Business</t>
  </si>
  <si>
    <t>Sale_ID</t>
  </si>
  <si>
    <t>Invoice_No</t>
  </si>
  <si>
    <t>Sale_Date</t>
  </si>
  <si>
    <t>Quantity</t>
  </si>
  <si>
    <t>Unit_Price</t>
  </si>
  <si>
    <t>Discount</t>
  </si>
  <si>
    <t>Tax</t>
  </si>
  <si>
    <t>Line_Total</t>
  </si>
  <si>
    <t>User_Name</t>
  </si>
  <si>
    <t>Created_Time</t>
  </si>
  <si>
    <t>janakiram</t>
  </si>
  <si>
    <t>Purchase_ID</t>
  </si>
  <si>
    <t>Purchase_No</t>
  </si>
  <si>
    <t>Purchase_Date</t>
  </si>
  <si>
    <t>Unit_Cost</t>
  </si>
  <si>
    <t>Payment_Status</t>
  </si>
  <si>
    <t>PUR-00001</t>
  </si>
  <si>
    <t>PO-2026-00001</t>
  </si>
  <si>
    <t>Paid</t>
  </si>
  <si>
    <t>Stock_Status</t>
  </si>
  <si>
    <t>Stock_Value</t>
  </si>
  <si>
    <t>In Stock</t>
  </si>
  <si>
    <t>Total Products</t>
  </si>
  <si>
    <t>Inventory Value</t>
  </si>
  <si>
    <t>Low Stock Items</t>
  </si>
  <si>
    <t>Out of Stock Items</t>
  </si>
  <si>
    <t>TAX INVOICE</t>
  </si>
  <si>
    <t>Invoice No</t>
  </si>
  <si>
    <t>Invoice Date</t>
  </si>
  <si>
    <t>BILL TO</t>
  </si>
  <si>
    <t>Customer Name</t>
  </si>
  <si>
    <t>Product Description</t>
  </si>
  <si>
    <t>Qty</t>
  </si>
  <si>
    <t>Unit Price</t>
  </si>
  <si>
    <t>Total</t>
  </si>
  <si>
    <t>Subtotal</t>
  </si>
  <si>
    <t>Grand Total</t>
  </si>
  <si>
    <t>Payment Status</t>
  </si>
  <si>
    <t>Payment Method</t>
  </si>
  <si>
    <t>Notes</t>
  </si>
  <si>
    <t>Thank you for your business!</t>
  </si>
  <si>
    <t>Terms &amp; Conditions</t>
  </si>
  <si>
    <t>Payment is due as per the agreed terms. Please mention the invoice number when making payment.</t>
  </si>
  <si>
    <t>For SmartBiz Pro</t>
  </si>
  <si>
    <t>Authorized Signature</t>
  </si>
  <si>
    <t>SALE-00001</t>
  </si>
  <si>
    <t>INV-2026-00001</t>
  </si>
  <si>
    <t>Madhapur, Hyderabad</t>
  </si>
  <si>
    <t>SMARTBIZ PRO — BUSINESS DASHBOARD</t>
  </si>
  <si>
    <t>Sales, Purchases and Inventory Overview</t>
  </si>
  <si>
    <t>TOTAL SALES</t>
  </si>
  <si>
    <t>TOTAL CUSTOMERS</t>
  </si>
  <si>
    <t>INVENTORY VALUE</t>
  </si>
  <si>
    <t>LOW STOCK</t>
  </si>
  <si>
    <t>TOTAL PURCHASES</t>
  </si>
  <si>
    <t>SALES INVOICES</t>
  </si>
  <si>
    <t>OUT OF STOCK</t>
  </si>
  <si>
    <t>PAID PURCHASES</t>
  </si>
  <si>
    <t>Row Labels</t>
  </si>
  <si>
    <t>Sum of Line_Total</t>
  </si>
  <si>
    <t>AVAILABLE REPORTS</t>
  </si>
  <si>
    <t>SALES REPORT</t>
  </si>
  <si>
    <t>Review invoice-level sales, customers, products, discounts, tax and totals.</t>
  </si>
  <si>
    <t>PURCHASE REPORT</t>
  </si>
  <si>
    <t>Review supplier purchases, products, quantities, costs and payment status.</t>
  </si>
  <si>
    <t>INVENTORY REPORT</t>
  </si>
  <si>
    <t>Review current stock, reorder levels, stock status and inventory value.</t>
  </si>
  <si>
    <t>SMARTBIZ PRO — REPORT CENTER</t>
  </si>
  <si>
    <t>Sales, Purchase and Inventory Reports</t>
  </si>
  <si>
    <t>SMARTBIZ PRO — USER GUIDE</t>
  </si>
  <si>
    <t>Quick Start and Operating Instructions</t>
  </si>
  <si>
    <t>QUICK START</t>
  </si>
  <si>
    <t xml:space="preserve">1. Enable macros when opening the workbook.
2. Complete the company information on the SETTINGS sheet.
3. Add suppliers, customers and products from the HOME page.
4. Record purchases to increase product stock.
5. Record sales to reduce product stock.
6. Select a SALES_DB record and click Generate Invoice.
7. Use DASHBOARD to review current business performance.
</t>
  </si>
  <si>
    <t>MODULE REFERENCE</t>
  </si>
  <si>
    <t>Module</t>
  </si>
  <si>
    <t>Access</t>
  </si>
  <si>
    <t>Products</t>
  </si>
  <si>
    <t>Customers</t>
  </si>
  <si>
    <t>Suppliers</t>
  </si>
  <si>
    <t>Purchases</t>
  </si>
  <si>
    <t>Sales</t>
  </si>
  <si>
    <t>Inventory</t>
  </si>
  <si>
    <t>Invoice</t>
  </si>
  <si>
    <t>Dashboard</t>
  </si>
  <si>
    <t>Reports</t>
  </si>
  <si>
    <t>Create and maintain product records</t>
  </si>
  <si>
    <t>Create and maintain customer records</t>
  </si>
  <si>
    <t>Create and maintain supplier records</t>
  </si>
  <si>
    <t>Record stock purchases</t>
  </si>
  <si>
    <t>Record sales and reduce stock</t>
  </si>
  <si>
    <t>Review stock levels and alerts</t>
  </si>
  <si>
    <t>Generate and export customer invoices</t>
  </si>
  <si>
    <t>Review KPIs and charts</t>
  </si>
  <si>
    <t>Access operational reports</t>
  </si>
  <si>
    <t>HOME → PRODUCTS</t>
  </si>
  <si>
    <t>HOME → CUSTOMERS</t>
  </si>
  <si>
    <t>HOME → SUPPLIERS</t>
  </si>
  <si>
    <t>HOME → PURCHASES</t>
  </si>
  <si>
    <t>HOME → SALES</t>
  </si>
  <si>
    <t>HOME → INVENTORY</t>
  </si>
  <si>
    <t>HOME → INVOICE</t>
  </si>
  <si>
    <t>HOME → DASHBOARD</t>
  </si>
  <si>
    <t>HOME → REPORTS</t>
  </si>
  <si>
    <t>Purpose</t>
  </si>
  <si>
    <t>IMPORTANT NOTES</t>
  </si>
  <si>
    <t>• Always enable macros when opening this workbook.
• Save a backup before changing VBA code, tables or worksheet names.
• Do not rename database tables because VBA depends on their current names.
• An invoice supports a maximum of 10 product lines.
• Payment Status, Payment Method and Notes are not currently stored in sales records.</t>
  </si>
  <si>
    <t>SUP-00002</t>
  </si>
  <si>
    <t>OfficeHub Distributors</t>
  </si>
  <si>
    <t>Rohan Mehta</t>
  </si>
  <si>
    <t>sales@officehub.demo</t>
  </si>
  <si>
    <t>Banjara Hills, Hyderabad</t>
  </si>
  <si>
    <t>SUP-00003</t>
  </si>
  <si>
    <t>Digital Edge Wholesale</t>
  </si>
  <si>
    <t>Neha Rao</t>
  </si>
  <si>
    <t>orders@digitaledge.demo</t>
  </si>
  <si>
    <t>PRD-00002</t>
  </si>
  <si>
    <t>Wireless Mouse</t>
  </si>
  <si>
    <t>WM-001</t>
  </si>
  <si>
    <t>PRD-00003</t>
  </si>
  <si>
    <t>USB-C Hub</t>
  </si>
  <si>
    <t>HUB-001</t>
  </si>
  <si>
    <t>PRD-00004</t>
  </si>
  <si>
    <t>A4 Paper Pack</t>
  </si>
  <si>
    <t>PAPER-001</t>
  </si>
  <si>
    <t>PRD-00005</t>
  </si>
  <si>
    <t>Desk Organizer</t>
  </si>
  <si>
    <t>DESK-001</t>
  </si>
  <si>
    <t>PUR-00002</t>
  </si>
  <si>
    <t>PO-2026-00002</t>
  </si>
  <si>
    <t>Pending</t>
  </si>
  <si>
    <t>PUR-00003</t>
  </si>
  <si>
    <t>PO-2026-00003</t>
  </si>
  <si>
    <t>PUR-00004</t>
  </si>
  <si>
    <t>PO-2026-00004</t>
  </si>
  <si>
    <t>PUR-00005</t>
  </si>
  <si>
    <t>PO-2026-00005</t>
  </si>
  <si>
    <t>CUS-00002</t>
  </si>
  <si>
    <t>Priya Sharma</t>
  </si>
  <si>
    <t>priya@urbanretail.demo</t>
  </si>
  <si>
    <t>Urban Retail</t>
  </si>
  <si>
    <t>Jubilee Hills</t>
  </si>
  <si>
    <t>CUS-00003</t>
  </si>
  <si>
    <t>Rahul Verma</t>
  </si>
  <si>
    <t>rahul@novasolutions.demo</t>
  </si>
  <si>
    <t>Nova Solutions</t>
  </si>
  <si>
    <t>Hitech City</t>
  </si>
  <si>
    <t>SALE-00002</t>
  </si>
  <si>
    <t>INV-2026-00002</t>
  </si>
  <si>
    <t>SALE-00003</t>
  </si>
  <si>
    <t>INV-2026-00003</t>
  </si>
  <si>
    <t>SALE-00004</t>
  </si>
  <si>
    <t>INV-2026-00004</t>
  </si>
  <si>
    <t>Low Stock</t>
  </si>
  <si>
    <t>SUP-00004</t>
  </si>
  <si>
    <t>Amazon</t>
  </si>
  <si>
    <t>phone</t>
  </si>
  <si>
    <t>info@amazon.in</t>
  </si>
  <si>
    <t>hitech city</t>
  </si>
  <si>
    <t>PUR-00006</t>
  </si>
  <si>
    <t>PO-2026-00006</t>
  </si>
  <si>
    <t>CUS-00004</t>
  </si>
  <si>
    <t>JanakiRam</t>
  </si>
  <si>
    <t>janakiramvallapu@gmail.com</t>
  </si>
  <si>
    <t>Personal</t>
  </si>
  <si>
    <t>Upperpally</t>
  </si>
  <si>
    <t>Individual</t>
  </si>
  <si>
    <t>SALE-00005</t>
  </si>
  <si>
    <t>INV-2026-00005</t>
  </si>
  <si>
    <t>Log_ID</t>
  </si>
  <si>
    <t>Log_Date</t>
  </si>
  <si>
    <t>Log_Time</t>
  </si>
  <si>
    <t>Action</t>
  </si>
  <si>
    <t>Record_ID</t>
  </si>
  <si>
    <t>Details</t>
  </si>
  <si>
    <t>LOG-000002</t>
  </si>
  <si>
    <t>System</t>
  </si>
  <si>
    <t>LOG-000003</t>
  </si>
  <si>
    <t>LOG-000001</t>
  </si>
  <si>
    <t>Second Test</t>
  </si>
  <si>
    <t>TEST-002</t>
  </si>
  <si>
    <t>Blank-row test</t>
  </si>
  <si>
    <t>PRD-00006</t>
  </si>
  <si>
    <t>ship</t>
  </si>
  <si>
    <t>SHIP - 001</t>
  </si>
  <si>
    <t>Created</t>
  </si>
  <si>
    <t>Product</t>
  </si>
  <si>
    <t>Product saved: ship</t>
  </si>
  <si>
    <t>CUS-00005</t>
  </si>
  <si>
    <t>ram</t>
  </si>
  <si>
    <t>xyz</t>
  </si>
  <si>
    <t>ity</t>
  </si>
  <si>
    <t>x</t>
  </si>
  <si>
    <t>Customer</t>
  </si>
  <si>
    <t>Customer saved: ram</t>
  </si>
  <si>
    <t>PUR-00007</t>
  </si>
  <si>
    <t>PO-2026-00007</t>
  </si>
  <si>
    <t>LOG-000004</t>
  </si>
  <si>
    <t>Purchase</t>
  </si>
  <si>
    <t>Purchased 1 unit(s) of PRD-00006</t>
  </si>
  <si>
    <t>SALE-00006</t>
  </si>
  <si>
    <t>INV-2026-00006</t>
  </si>
  <si>
    <t>LOG-000005</t>
  </si>
  <si>
    <t>Sale</t>
  </si>
  <si>
    <t>Sale saved with 1 item(s). Grand total: 141482.00</t>
  </si>
  <si>
    <t>ity, x</t>
  </si>
  <si>
    <t>LOG-000006</t>
  </si>
  <si>
    <t>Generated</t>
  </si>
  <si>
    <t>Invoice generated. Grand total: 141,482.00</t>
  </si>
  <si>
    <t>LOG-000007</t>
  </si>
  <si>
    <t>Exported</t>
  </si>
  <si>
    <t>Invoice PDF</t>
  </si>
  <si>
    <t>PDF exported to: C:\Users\janakiram\Documents\Data_Analytics_Portfolio\PROJECTS\SmartBiz_Pro\Invoices\INV-2026-00006.pdf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</si>
</sst>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 #,##0.00"/>
    <numFmt numFmtId="165" formatCode="dd\-mmm\-yyyy"/>
    <numFmt numFmtId="171" formatCode="[$-F800]dddd\,\ mmmm\ dd\,\ yyyy"/>
    <numFmt numFmtId="172" formatCode="[$-F400]h:mm:ss\ AM/PM"/>
  </numFmts>
  <fonts count="19">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b/>
      <sz val="24"/>
      <color theme="0"/>
      <name val="Calibri"/>
      <family val="2"/>
      <scheme val="minor"/>
    </font>
    <font>
      <b/>
      <sz val="18"/>
      <color rgb="FF1F2937"/>
      <name val="Calibri"/>
      <family val="2"/>
      <scheme val="minor"/>
    </font>
    <font>
      <u/>
      <sz val="11"/>
      <color theme="10"/>
      <name val="Calibri"/>
      <family val="2"/>
      <scheme val="minor"/>
    </font>
    <font>
      <b/>
      <sz val="10"/>
      <color theme="1"/>
      <name val="Arial Unicode MS"/>
    </font>
    <font>
      <b/>
      <sz val="20"/>
      <color theme="1"/>
      <name val="Calibri"/>
      <family val="2"/>
      <scheme val="minor"/>
    </font>
    <font>
      <b/>
      <sz val="22"/>
      <color theme="0"/>
      <name val="Calibri"/>
      <family val="2"/>
      <scheme val="minor"/>
    </font>
    <font>
      <b/>
      <sz val="13"/>
      <color theme="0"/>
      <name val="Calibri"/>
      <family val="2"/>
      <scheme val="minor"/>
    </font>
    <font>
      <sz val="10"/>
      <color theme="1"/>
      <name val="Arial Unicode MS"/>
    </font>
    <font>
      <b/>
      <sz val="14"/>
      <color theme="1"/>
      <name val="Calibri"/>
      <family val="2"/>
      <scheme val="minor"/>
    </font>
    <font>
      <sz val="9"/>
      <color theme="1"/>
      <name val="Calibri"/>
      <family val="2"/>
      <scheme val="minor"/>
    </font>
    <font>
      <b/>
      <sz val="12"/>
      <color rgb="FF1F7A8C"/>
      <name val="Calibri"/>
      <family val="2"/>
      <scheme val="minor"/>
    </font>
    <font>
      <b/>
      <sz val="14"/>
      <color theme="0"/>
      <name val="Calibri"/>
      <family val="2"/>
      <scheme val="minor"/>
    </font>
    <font>
      <sz val="22"/>
      <color theme="1"/>
      <name val="Calibri"/>
      <family val="2"/>
      <scheme val="minor"/>
    </font>
    <font>
      <b/>
      <sz val="22"/>
      <color theme="1"/>
      <name val="Calibri"/>
      <family val="2"/>
      <scheme val="minor"/>
    </font>
  </fonts>
  <fills count="9">
    <fill>
      <patternFill patternType="none"/>
    </fill>
    <fill>
      <patternFill patternType="gray125"/>
    </fill>
    <fill>
      <patternFill patternType="solid">
        <fgColor rgb="FF16324F"/>
        <bgColor indexed="64"/>
      </patternFill>
    </fill>
    <fill>
      <patternFill patternType="solid">
        <fgColor rgb="FFF5F7FA"/>
        <bgColor indexed="64"/>
      </patternFill>
    </fill>
    <fill>
      <patternFill patternType="solid">
        <fgColor theme="0"/>
        <bgColor indexed="64"/>
      </patternFill>
    </fill>
    <fill>
      <patternFill patternType="solid">
        <fgColor rgb="FF1F7A8C"/>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theme="2" tint="-0.749992370372631"/>
      </left>
      <right style="thin">
        <color theme="2" tint="-0.749992370372631"/>
      </right>
      <top style="thin">
        <color theme="2" tint="-0.749992370372631"/>
      </top>
      <bottom/>
      <diagonal/>
    </border>
    <border>
      <left style="thin">
        <color theme="2" tint="-0.749992370372631"/>
      </left>
      <right style="thin">
        <color theme="2" tint="-0.749992370372631"/>
      </right>
      <top/>
      <bottom style="thin">
        <color theme="2" tint="-0.74999237037263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7" fillId="0" borderId="0" applyNumberFormat="0" applyFill="0" applyBorder="0" applyAlignment="0" applyProtection="0"/>
  </cellStyleXfs>
  <cellXfs count="105">
    <xf numFmtId="0" fontId="0" fillId="0" borderId="0" xfId="0"/>
    <xf numFmtId="0" fontId="2" fillId="0" borderId="1" xfId="0" applyFont="1" applyBorder="1"/>
    <xf numFmtId="0" fontId="2" fillId="0" borderId="2" xfId="0" applyFont="1" applyBorder="1"/>
    <xf numFmtId="0" fontId="2" fillId="0" borderId="3" xfId="0" applyFont="1" applyBorder="1"/>
    <xf numFmtId="0" fontId="0" fillId="0" borderId="4" xfId="0" applyBorder="1" applyAlignment="1">
      <alignment horizontal="left"/>
    </xf>
    <xf numFmtId="0" fontId="0" fillId="0" borderId="5" xfId="0" applyBorder="1" applyAlignment="1">
      <alignment horizontal="left"/>
    </xf>
    <xf numFmtId="0" fontId="7" fillId="0" borderId="5" xfId="1" applyBorder="1" applyAlignment="1">
      <alignment horizontal="left"/>
    </xf>
    <xf numFmtId="9" fontId="0" fillId="0" borderId="5" xfId="0" applyNumberFormat="1" applyBorder="1" applyAlignment="1">
      <alignment horizontal="left"/>
    </xf>
    <xf numFmtId="0" fontId="0" fillId="0" borderId="6" xfId="0" applyBorder="1" applyAlignment="1">
      <alignment horizontal="left"/>
    </xf>
    <xf numFmtId="0" fontId="1" fillId="2" borderId="0" xfId="0" applyFont="1" applyFill="1" applyAlignment="1">
      <alignment horizontal="center" vertical="center"/>
    </xf>
    <xf numFmtId="22" fontId="0" fillId="0" borderId="0" xfId="0" applyNumberFormat="1"/>
    <xf numFmtId="14" fontId="0" fillId="0" borderId="0" xfId="0" applyNumberFormat="1"/>
    <xf numFmtId="0" fontId="0" fillId="0" borderId="0" xfId="0" applyAlignment="1">
      <alignment vertical="center"/>
    </xf>
    <xf numFmtId="0" fontId="8" fillId="4" borderId="7" xfId="0" applyFont="1" applyFill="1" applyBorder="1"/>
    <xf numFmtId="0" fontId="9" fillId="4" borderId="8" xfId="0" applyFont="1" applyFill="1" applyBorder="1" applyAlignment="1">
      <alignment horizontal="center" vertical="center"/>
    </xf>
    <xf numFmtId="0" fontId="8" fillId="4" borderId="7" xfId="0" applyFont="1" applyFill="1" applyBorder="1" applyAlignment="1">
      <alignment horizontal="center" vertical="center"/>
    </xf>
    <xf numFmtId="164" fontId="9" fillId="4" borderId="8" xfId="0" applyNumberFormat="1" applyFont="1" applyFill="1" applyBorder="1" applyAlignment="1">
      <alignment horizontal="center" vertical="center"/>
    </xf>
    <xf numFmtId="0" fontId="2" fillId="4" borderId="0" xfId="0" applyFont="1" applyFill="1"/>
    <xf numFmtId="0" fontId="9" fillId="0" borderId="8" xfId="0" applyFont="1" applyBorder="1" applyAlignment="1">
      <alignment horizontal="center" vertical="center"/>
    </xf>
    <xf numFmtId="0" fontId="12" fillId="0" borderId="0" xfId="0" applyFont="1"/>
    <xf numFmtId="0" fontId="8" fillId="6" borderId="1" xfId="0" applyFont="1" applyFill="1" applyBorder="1"/>
    <xf numFmtId="0" fontId="8" fillId="6" borderId="2" xfId="0" applyFont="1" applyFill="1" applyBorder="1"/>
    <xf numFmtId="0" fontId="8" fillId="6" borderId="3" xfId="0" applyFont="1" applyFill="1" applyBorder="1"/>
    <xf numFmtId="0" fontId="1" fillId="5" borderId="0" xfId="0" applyFont="1" applyFill="1" applyAlignment="1">
      <alignment horizontal="center" vertical="center"/>
    </xf>
    <xf numFmtId="0" fontId="0" fillId="0" borderId="12" xfId="0" applyBorder="1"/>
    <xf numFmtId="0" fontId="0" fillId="0" borderId="12" xfId="0" applyBorder="1" applyAlignment="1">
      <alignment horizontal="left"/>
    </xf>
    <xf numFmtId="0" fontId="2" fillId="7" borderId="12" xfId="0" applyFont="1" applyFill="1" applyBorder="1"/>
    <xf numFmtId="0" fontId="2" fillId="7" borderId="12" xfId="0" applyFont="1" applyFill="1" applyBorder="1" applyAlignment="1">
      <alignment horizontal="left" vertical="center"/>
    </xf>
    <xf numFmtId="4" fontId="0" fillId="0" borderId="12" xfId="0" applyNumberFormat="1" applyBorder="1"/>
    <xf numFmtId="4" fontId="0" fillId="0" borderId="0" xfId="0" applyNumberFormat="1"/>
    <xf numFmtId="4" fontId="0" fillId="4" borderId="12" xfId="0" applyNumberFormat="1" applyFill="1" applyBorder="1" applyAlignment="1">
      <alignment horizontal="right"/>
    </xf>
    <xf numFmtId="4" fontId="0" fillId="4" borderId="12" xfId="0" applyNumberFormat="1" applyFill="1" applyBorder="1"/>
    <xf numFmtId="4" fontId="1" fillId="2" borderId="12" xfId="0" applyNumberFormat="1" applyFont="1" applyFill="1" applyBorder="1"/>
    <xf numFmtId="0" fontId="0" fillId="0" borderId="0" xfId="0"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1" fillId="5" borderId="9" xfId="0" applyFont="1" applyFill="1" applyBorder="1"/>
    <xf numFmtId="0" fontId="1" fillId="5" borderId="13" xfId="0" applyFont="1" applyFill="1" applyBorder="1"/>
    <xf numFmtId="0" fontId="1" fillId="5" borderId="4" xfId="0" applyFont="1" applyFill="1" applyBorder="1"/>
    <xf numFmtId="0" fontId="0" fillId="3" borderId="14" xfId="0" applyFill="1" applyBorder="1"/>
    <xf numFmtId="0" fontId="0" fillId="3" borderId="15" xfId="0" applyFill="1" applyBorder="1"/>
    <xf numFmtId="0" fontId="0" fillId="3" borderId="16" xfId="0" applyFill="1" applyBorder="1"/>
    <xf numFmtId="0" fontId="0" fillId="3" borderId="17" xfId="0" applyFill="1" applyBorder="1"/>
    <xf numFmtId="0" fontId="0" fillId="3" borderId="0" xfId="0" applyFill="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10" fillId="2" borderId="0" xfId="0" applyFont="1" applyFill="1" applyAlignment="1">
      <alignment horizontal="center" vertical="center"/>
    </xf>
    <xf numFmtId="0" fontId="16" fillId="5" borderId="0" xfId="0" applyFont="1" applyFill="1" applyAlignment="1">
      <alignment horizontal="center"/>
    </xf>
    <xf numFmtId="0" fontId="1" fillId="2" borderId="12" xfId="0" applyFont="1" applyFill="1" applyBorder="1" applyAlignment="1">
      <alignment horizontal="center"/>
    </xf>
    <xf numFmtId="164" fontId="17" fillId="8" borderId="12" xfId="0" applyNumberFormat="1" applyFont="1" applyFill="1" applyBorder="1" applyAlignment="1">
      <alignment horizontal="center" vertical="center"/>
    </xf>
    <xf numFmtId="0" fontId="17" fillId="8" borderId="12" xfId="0" applyFont="1" applyFill="1" applyBorder="1" applyAlignment="1">
      <alignment horizontal="center" vertical="center"/>
    </xf>
    <xf numFmtId="0" fontId="18" fillId="8" borderId="12" xfId="0" applyFont="1" applyFill="1" applyBorder="1" applyAlignment="1">
      <alignment horizontal="center" vertical="center"/>
    </xf>
    <xf numFmtId="164" fontId="18" fillId="8" borderId="12" xfId="0" applyNumberFormat="1" applyFont="1" applyFill="1" applyBorder="1" applyAlignment="1">
      <alignment horizontal="center" vertical="center"/>
    </xf>
    <xf numFmtId="0" fontId="0" fillId="4" borderId="0" xfId="0" applyFill="1" applyAlignment="1">
      <alignment horizontal="center"/>
    </xf>
    <xf numFmtId="0" fontId="5" fillId="2" borderId="0" xfId="0" applyFont="1" applyFill="1" applyAlignment="1">
      <alignment horizontal="center" vertical="center"/>
    </xf>
    <xf numFmtId="0" fontId="3" fillId="2" borderId="0" xfId="0" applyFont="1" applyFill="1" applyAlignment="1">
      <alignment horizontal="center" vertical="center"/>
    </xf>
    <xf numFmtId="0" fontId="6" fillId="3" borderId="0" xfId="0" applyFont="1" applyFill="1" applyAlignment="1">
      <alignment horizontal="center"/>
    </xf>
    <xf numFmtId="0" fontId="0" fillId="3" borderId="0" xfId="0" applyFill="1" applyAlignment="1">
      <alignment horizontal="center"/>
    </xf>
    <xf numFmtId="0" fontId="0" fillId="0" borderId="12" xfId="0" applyBorder="1" applyAlignment="1">
      <alignment horizontal="left" vertical="top" wrapText="1"/>
    </xf>
    <xf numFmtId="0" fontId="1" fillId="5" borderId="12" xfId="0" applyFont="1" applyFill="1" applyBorder="1" applyAlignment="1">
      <alignment horizontal="left" vertical="top"/>
    </xf>
    <xf numFmtId="0" fontId="0" fillId="8" borderId="12" xfId="0" applyFill="1" applyBorder="1" applyAlignment="1">
      <alignment horizontal="left" vertical="top" wrapText="1"/>
    </xf>
    <xf numFmtId="0" fontId="0" fillId="8" borderId="12" xfId="0" applyFill="1" applyBorder="1" applyAlignment="1">
      <alignment horizontal="left" vertical="top"/>
    </xf>
    <xf numFmtId="0" fontId="1" fillId="5" borderId="0" xfId="0" applyFont="1" applyFill="1" applyAlignment="1">
      <alignment horizontal="center"/>
    </xf>
    <xf numFmtId="0" fontId="1" fillId="5" borderId="12" xfId="0" applyFont="1" applyFill="1" applyBorder="1" applyAlignment="1">
      <alignment horizontal="left" vertical="top" wrapText="1"/>
    </xf>
    <xf numFmtId="0" fontId="2" fillId="0" borderId="12" xfId="0" applyFont="1" applyBorder="1" applyAlignment="1">
      <alignment horizontal="left" vertical="top" wrapText="1"/>
    </xf>
    <xf numFmtId="0" fontId="2" fillId="4" borderId="11" xfId="0" applyFont="1" applyFill="1" applyBorder="1" applyAlignment="1">
      <alignment horizontal="center"/>
    </xf>
    <xf numFmtId="0" fontId="2" fillId="4" borderId="5" xfId="0" applyFont="1" applyFill="1" applyBorder="1" applyAlignment="1">
      <alignment horizontal="center"/>
    </xf>
    <xf numFmtId="0" fontId="2" fillId="4" borderId="10" xfId="0" applyFont="1" applyFill="1" applyBorder="1" applyAlignment="1">
      <alignment horizontal="center"/>
    </xf>
    <xf numFmtId="0" fontId="2" fillId="4" borderId="6" xfId="0" applyFont="1" applyFill="1" applyBorder="1" applyAlignment="1">
      <alignment horizontal="center"/>
    </xf>
    <xf numFmtId="0" fontId="12" fillId="0" borderId="0" xfId="0" applyFont="1" applyAlignment="1">
      <alignment horizontal="center" vertical="center"/>
    </xf>
    <xf numFmtId="0" fontId="2" fillId="6" borderId="12" xfId="0" applyFont="1" applyFill="1" applyBorder="1" applyAlignment="1">
      <alignment horizontal="center"/>
    </xf>
    <xf numFmtId="165" fontId="2" fillId="6" borderId="10" xfId="0" applyNumberFormat="1" applyFont="1" applyFill="1" applyBorder="1" applyAlignment="1">
      <alignment horizontal="center"/>
    </xf>
    <xf numFmtId="0" fontId="2" fillId="6" borderId="6" xfId="0" applyFont="1" applyFill="1" applyBorder="1" applyAlignment="1">
      <alignment horizontal="center"/>
    </xf>
    <xf numFmtId="0" fontId="2" fillId="4" borderId="9" xfId="0" applyFont="1" applyFill="1" applyBorder="1" applyAlignment="1">
      <alignment horizontal="center"/>
    </xf>
    <xf numFmtId="0" fontId="2" fillId="4" borderId="4" xfId="0" applyFont="1" applyFill="1" applyBorder="1" applyAlignment="1">
      <alignment horizontal="center"/>
    </xf>
    <xf numFmtId="0" fontId="10" fillId="5" borderId="0" xfId="0" applyFont="1" applyFill="1" applyAlignment="1">
      <alignment horizontal="center" vertical="center"/>
    </xf>
    <xf numFmtId="0" fontId="11" fillId="5" borderId="0" xfId="0" applyFont="1" applyFill="1" applyAlignment="1">
      <alignment horizontal="center"/>
    </xf>
    <xf numFmtId="0" fontId="13" fillId="0" borderId="0" xfId="0" applyFont="1" applyAlignment="1">
      <alignment horizontal="center"/>
    </xf>
    <xf numFmtId="4" fontId="2" fillId="7" borderId="12" xfId="0" applyNumberFormat="1" applyFont="1" applyFill="1" applyBorder="1" applyAlignment="1">
      <alignment horizontal="right"/>
    </xf>
    <xf numFmtId="4" fontId="1" fillId="2" borderId="12" xfId="0" applyNumberFormat="1" applyFont="1" applyFill="1" applyBorder="1" applyAlignment="1">
      <alignment horizontal="center"/>
    </xf>
    <xf numFmtId="0" fontId="0" fillId="4" borderId="12" xfId="0" applyFill="1" applyBorder="1" applyAlignment="1">
      <alignment horizontal="center"/>
    </xf>
    <xf numFmtId="4" fontId="0" fillId="4" borderId="12" xfId="0" applyNumberFormat="1" applyFill="1" applyBorder="1" applyAlignment="1">
      <alignment horizontal="center"/>
    </xf>
    <xf numFmtId="0" fontId="0" fillId="4" borderId="12" xfId="0" applyFill="1" applyBorder="1" applyAlignment="1">
      <alignment horizontal="center" wrapText="1"/>
    </xf>
    <xf numFmtId="4" fontId="0" fillId="4" borderId="12" xfId="0" applyNumberFormat="1" applyFill="1" applyBorder="1" applyAlignment="1">
      <alignment horizontal="center" wrapText="1"/>
    </xf>
    <xf numFmtId="0" fontId="2" fillId="7" borderId="1" xfId="0" applyFont="1" applyFill="1" applyBorder="1" applyAlignment="1">
      <alignment horizontal="left" vertical="top"/>
    </xf>
    <xf numFmtId="0" fontId="2" fillId="7" borderId="3" xfId="0" applyFont="1" applyFill="1" applyBorder="1" applyAlignment="1">
      <alignment horizontal="left" vertical="top"/>
    </xf>
    <xf numFmtId="0" fontId="15" fillId="0" borderId="0" xfId="0" applyFont="1" applyAlignment="1">
      <alignment horizontal="center"/>
    </xf>
    <xf numFmtId="0" fontId="2" fillId="0" borderId="0" xfId="0" applyFont="1" applyAlignment="1">
      <alignment horizontal="center"/>
    </xf>
    <xf numFmtId="0" fontId="14" fillId="0" borderId="0" xfId="0" applyFont="1" applyAlignment="1">
      <alignment horizontal="left" vertical="top" wrapText="1"/>
    </xf>
    <xf numFmtId="0" fontId="2" fillId="0" borderId="0" xfId="0" applyFont="1" applyAlignment="1">
      <alignment horizontal="center" vertical="center"/>
    </xf>
    <xf numFmtId="0" fontId="2" fillId="0" borderId="13" xfId="0" applyFont="1" applyBorder="1" applyAlignment="1">
      <alignment horizontal="center" vertical="center"/>
    </xf>
    <xf numFmtId="0" fontId="1" fillId="5" borderId="0" xfId="0" applyFont="1" applyFill="1" applyAlignment="1">
      <alignment horizontal="center" vertical="center"/>
    </xf>
    <xf numFmtId="0" fontId="1" fillId="2" borderId="0" xfId="0" applyFont="1" applyFill="1" applyAlignment="1">
      <alignment horizontal="center" vertical="center"/>
    </xf>
    <xf numFmtId="0" fontId="1" fillId="5" borderId="12" xfId="0" applyFont="1" applyFill="1" applyBorder="1" applyAlignment="1">
      <alignment horizontal="center"/>
    </xf>
    <xf numFmtId="0" fontId="0" fillId="7" borderId="12" xfId="0" applyFill="1" applyBorder="1" applyAlignment="1">
      <alignment horizontal="left" vertical="top" wrapText="1"/>
    </xf>
    <xf numFmtId="0" fontId="4" fillId="2" borderId="0" xfId="0" applyFont="1" applyFill="1" applyAlignment="1">
      <alignment horizontal="center" vertical="center"/>
    </xf>
    <xf numFmtId="0" fontId="0" fillId="0" borderId="0" xfId="0" applyNumberFormat="1"/>
    <xf numFmtId="0" fontId="0" fillId="0" borderId="12" xfId="0" applyBorder="1" applyAlignment="1">
      <alignment horizontal="right"/>
    </xf>
    <xf numFmtId="4" fontId="0" fillId="0" borderId="12" xfId="0" applyNumberFormat="1" applyBorder="1" applyAlignment="1">
      <alignment horizontal="right"/>
    </xf>
    <xf numFmtId="171" fontId="0" fillId="0" borderId="0" xfId="0" applyNumberFormat="1"/>
    <xf numFmtId="172" fontId="0" fillId="0" borderId="0" xfId="0" applyNumberFormat="1"/>
    <xf numFmtId="0" fontId="0" fillId="0" borderId="0" xfId="0" applyAlignment="1">
      <alignment wrapText="1"/>
    </xf>
  </cellXfs>
  <cellStyles count="2">
    <cellStyle name="Hyperlink" xfId="1" builtinId="8"/>
    <cellStyle name="Normal" xfId="0" builtinId="0"/>
  </cellStyles>
  <dxfs count="7">
    <dxf>
      <font>
        <color rgb="FF006100"/>
      </font>
      <fill>
        <patternFill>
          <bgColor rgb="FFC6EFCE"/>
        </patternFill>
      </fill>
    </dxf>
    <dxf>
      <font>
        <color rgb="FF9C5700"/>
      </font>
      <fill>
        <patternFill>
          <bgColor rgb="FFFFEB9C"/>
        </patternFill>
      </fill>
    </dxf>
    <dxf>
      <font>
        <color rgb="FF9C0006"/>
      </font>
      <fill>
        <patternFill>
          <bgColor rgb="FFFFC7CE"/>
        </patternFill>
      </fill>
    </dxf>
    <dxf>
      <alignment horizontal="general" vertical="bottom" textRotation="0" wrapText="1" indent="0" justifyLastLine="0" shrinkToFit="0" readingOrder="0"/>
    </dxf>
    <dxf>
      <numFmt numFmtId="172" formatCode="[$-F400]h:mm:ss\ AM/PM"/>
    </dxf>
    <dxf>
      <numFmt numFmtId="171" formatCode="[$-F800]dddd\,\ mmmm\ dd\,\ yyyy"/>
    </dxf>
    <dxf>
      <font>
        <b/>
        <i val="0"/>
        <strike val="0"/>
        <condense val="0"/>
        <extend val="0"/>
        <outline val="0"/>
        <shadow val="0"/>
        <u val="none"/>
        <vertAlign val="baseline"/>
        <sz val="11"/>
        <color theme="0"/>
        <name val="Calibri"/>
        <family val="2"/>
        <scheme val="minor"/>
      </font>
      <fill>
        <patternFill patternType="solid">
          <fgColor indexed="64"/>
          <bgColor rgb="FF16324F"/>
        </patternFill>
      </fill>
      <alignment horizontal="center" vertical="center" textRotation="0" wrapText="0" indent="0" justifyLastLine="0" shrinkToFit="0" readingOrder="0"/>
    </dxf>
  </dxfs>
  <tableStyles count="0" defaultTableStyle="TableStyleMedium2" defaultPivotStyle="PivotStyleLight16"/>
  <colors>
    <mruColors>
      <color rgb="FF1F7A8C"/>
      <color rgb="FF16324F"/>
      <color rgb="FF1F2937"/>
      <color rgb="FFF5F7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[SmartBiz_Pro_v1.0.xlsm]REPORTS!PivotTable1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Product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7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300004126459294E-2"/>
          <c:y val="0.18439466905020682"/>
          <c:w val="0.87709911667431961"/>
          <c:h val="0.72270303883260611"/>
        </c:manualLayout>
      </c:layout>
      <c:barChart>
        <c:barDir val="col"/>
        <c:grouping val="clustered"/>
        <c:varyColors val="0"/>
        <c:ser>
          <c:idx val="0"/>
          <c:order val="0"/>
          <c:tx>
            <c:strRef>
              <c:f>REPORTS!$T$1</c:f>
              <c:strCache>
                <c:ptCount val="1"/>
                <c:pt idx="0">
                  <c:v>Total</c:v>
                </c:pt>
              </c:strCache>
            </c:strRef>
          </c:tx>
          <c:spPr>
            <a:solidFill>
              <a:srgbClr val="1F7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REPORTS!$S$2:$S$7</c:f>
              <c:strCache>
                <c:ptCount val="5"/>
                <c:pt idx="0">
                  <c:v>Wireless Keyboard</c:v>
                </c:pt>
                <c:pt idx="1">
                  <c:v>Wireless Mouse</c:v>
                </c:pt>
                <c:pt idx="2">
                  <c:v>A4 Paper Pack</c:v>
                </c:pt>
                <c:pt idx="3">
                  <c:v>USB-C Hub</c:v>
                </c:pt>
                <c:pt idx="4">
                  <c:v>Desk Organizer</c:v>
                </c:pt>
              </c:strCache>
            </c:strRef>
          </c:cat>
          <c:val>
            <c:numRef>
              <c:f>REPORTS!$T$2:$T$7</c:f>
              <c:numCache>
                <c:formatCode>General</c:formatCode>
                <c:ptCount val="5"/>
                <c:pt idx="0">
                  <c:v>71980</c:v>
                </c:pt>
                <c:pt idx="1">
                  <c:v>12921</c:v>
                </c:pt>
                <c:pt idx="2">
                  <c:v>9263</c:v>
                </c:pt>
                <c:pt idx="3">
                  <c:v>19765</c:v>
                </c:pt>
                <c:pt idx="4">
                  <c:v>6814.5</c:v>
                </c:pt>
              </c:numCache>
            </c:numRef>
          </c:val>
          <c:extLst>
            <c:ext xmlns:c16="http://schemas.microsoft.com/office/drawing/2014/chart" uri="{C3380CC4-5D6E-409C-BE32-E72D297353CC}">
              <c16:uniqueId val="{00000000-6AF7-476E-B90A-4131312B5685}"/>
            </c:ext>
          </c:extLst>
        </c:ser>
        <c:dLbls>
          <c:showLegendKey val="0"/>
          <c:showVal val="0"/>
          <c:showCatName val="0"/>
          <c:showSerName val="0"/>
          <c:showPercent val="0"/>
          <c:showBubbleSize val="0"/>
        </c:dLbls>
        <c:gapWidth val="219"/>
        <c:overlap val="-27"/>
        <c:axId val="1913642239"/>
        <c:axId val="2003157519"/>
      </c:barChart>
      <c:catAx>
        <c:axId val="1913642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157519"/>
        <c:crosses val="autoZero"/>
        <c:auto val="1"/>
        <c:lblAlgn val="ctr"/>
        <c:lblOffset val="100"/>
        <c:noMultiLvlLbl val="0"/>
      </c:catAx>
      <c:valAx>
        <c:axId val="20031575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64223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317500" dist="38100" dir="2700000" algn="tl"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[SmartBiz_Pro_v1.0.xlsm]REPORTS!PivotTable2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Purchases by Supplier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6324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REPORTS!$X$1</c:f>
              <c:strCache>
                <c:ptCount val="1"/>
                <c:pt idx="0">
                  <c:v>Total</c:v>
                </c:pt>
              </c:strCache>
            </c:strRef>
          </c:tx>
          <c:spPr>
            <a:solidFill>
              <a:srgbClr val="1632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REPORTS!$W$2:$W$5</c:f>
              <c:strCache>
                <c:ptCount val="3"/>
                <c:pt idx="0">
                  <c:v>TechSource India</c:v>
                </c:pt>
                <c:pt idx="1">
                  <c:v>Digital Edge Wholesale</c:v>
                </c:pt>
                <c:pt idx="2">
                  <c:v>OfficeHub Distributors</c:v>
                </c:pt>
              </c:strCache>
            </c:strRef>
          </c:cat>
          <c:val>
            <c:numRef>
              <c:f>REPORTS!$X$2:$X$5</c:f>
              <c:numCache>
                <c:formatCode>General</c:formatCode>
                <c:ptCount val="3"/>
                <c:pt idx="0">
                  <c:v>21750</c:v>
                </c:pt>
                <c:pt idx="1">
                  <c:v>16500</c:v>
                </c:pt>
                <c:pt idx="2">
                  <c:v>17000</c:v>
                </c:pt>
              </c:numCache>
            </c:numRef>
          </c:val>
          <c:extLst>
            <c:ext xmlns:c16="http://schemas.microsoft.com/office/drawing/2014/chart" uri="{C3380CC4-5D6E-409C-BE32-E72D297353CC}">
              <c16:uniqueId val="{00000000-67DE-495E-8BCA-7898A1CC9ADA}"/>
            </c:ext>
          </c:extLst>
        </c:ser>
        <c:dLbls>
          <c:showLegendKey val="0"/>
          <c:showVal val="0"/>
          <c:showCatName val="0"/>
          <c:showSerName val="0"/>
          <c:showPercent val="0"/>
          <c:showBubbleSize val="0"/>
        </c:dLbls>
        <c:gapWidth val="219"/>
        <c:overlap val="-27"/>
        <c:axId val="2117711807"/>
        <c:axId val="2003059119"/>
      </c:barChart>
      <c:catAx>
        <c:axId val="211771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059119"/>
        <c:crosses val="autoZero"/>
        <c:auto val="1"/>
        <c:lblAlgn val="ctr"/>
        <c:lblOffset val="100"/>
        <c:noMultiLvlLbl val="0"/>
      </c:catAx>
      <c:valAx>
        <c:axId val="2003059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11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317500" dist="38100" dir="2700000" algn="tl"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228600</xdr:colOff>
      <xdr:row>9</xdr:row>
      <xdr:rowOff>71139</xdr:rowOff>
    </xdr:from>
    <xdr:to>
      <xdr:col>5</xdr:col>
      <xdr:colOff>533760</xdr:colOff>
      <xdr:row>11</xdr:row>
      <xdr:rowOff>171607</xdr:rowOff>
    </xdr:to>
    <xdr:sp macro="[0]!OpenSalesForm" textlink="">
      <xdr:nvSpPr>
        <xdr:cNvPr id="2" name="Rectangle: Rounded Corners 1">
          <a:extLst>
            <a:ext uri="{FF2B5EF4-FFF2-40B4-BE49-F238E27FC236}">
              <a16:creationId xmlns:a16="http://schemas.microsoft.com/office/drawing/2014/main" id="{0CD1694F-E51D-A37D-2695-005235CA01E1}"/>
            </a:ext>
          </a:extLst>
        </xdr:cNvPr>
        <xdr:cNvSpPr/>
      </xdr:nvSpPr>
      <xdr:spPr>
        <a:xfrm>
          <a:off x="2501900" y="1842789"/>
          <a:ext cx="1187810"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SALES</a:t>
          </a:r>
        </a:p>
      </xdr:txBody>
    </xdr:sp>
    <xdr:clientData/>
  </xdr:twoCellAnchor>
  <xdr:twoCellAnchor>
    <xdr:from>
      <xdr:col>7</xdr:col>
      <xdr:colOff>133170</xdr:colOff>
      <xdr:row>9</xdr:row>
      <xdr:rowOff>69850</xdr:rowOff>
    </xdr:from>
    <xdr:to>
      <xdr:col>8</xdr:col>
      <xdr:colOff>438330</xdr:colOff>
      <xdr:row>11</xdr:row>
      <xdr:rowOff>172897</xdr:rowOff>
    </xdr:to>
    <xdr:sp macro="[0]!OpenPurchaseForm" textlink="">
      <xdr:nvSpPr>
        <xdr:cNvPr id="3" name="Rectangle: Rounded Corners 2">
          <a:extLst>
            <a:ext uri="{FF2B5EF4-FFF2-40B4-BE49-F238E27FC236}">
              <a16:creationId xmlns:a16="http://schemas.microsoft.com/office/drawing/2014/main" id="{AB208BA2-AD32-49EB-8A4A-4196A7208746}"/>
            </a:ext>
          </a:extLst>
        </xdr:cNvPr>
        <xdr:cNvSpPr/>
      </xdr:nvSpPr>
      <xdr:spPr>
        <a:xfrm>
          <a:off x="5054420" y="1841500"/>
          <a:ext cx="1187810" cy="47134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lt1"/>
              </a:solidFill>
              <a:latin typeface="+mn-lt"/>
              <a:ea typeface="ADLaM Display" panose="02010000000000000000" pitchFamily="2" charset="0"/>
              <a:cs typeface="ADLaM Display" panose="02010000000000000000" pitchFamily="2" charset="0"/>
            </a:rPr>
            <a:t>PURCHASES</a:t>
          </a:r>
          <a:endParaRPr lang="en-IN" sz="1200" b="1">
            <a:latin typeface="+mn-lt"/>
            <a:ea typeface="ADLaM Display" panose="02010000000000000000" pitchFamily="2" charset="0"/>
            <a:cs typeface="ADLaM Display" panose="02010000000000000000" pitchFamily="2" charset="0"/>
          </a:endParaRPr>
        </a:p>
      </xdr:txBody>
    </xdr:sp>
    <xdr:clientData/>
  </xdr:twoCellAnchor>
  <xdr:twoCellAnchor>
    <xdr:from>
      <xdr:col>10</xdr:col>
      <xdr:colOff>37739</xdr:colOff>
      <xdr:row>9</xdr:row>
      <xdr:rowOff>71139</xdr:rowOff>
    </xdr:from>
    <xdr:to>
      <xdr:col>11</xdr:col>
      <xdr:colOff>342900</xdr:colOff>
      <xdr:row>11</xdr:row>
      <xdr:rowOff>171607</xdr:rowOff>
    </xdr:to>
    <xdr:sp macro="[0]!OpenInventory" textlink="">
      <xdr:nvSpPr>
        <xdr:cNvPr id="4" name="Rectangle: Rounded Corners 3">
          <a:extLst>
            <a:ext uri="{FF2B5EF4-FFF2-40B4-BE49-F238E27FC236}">
              <a16:creationId xmlns:a16="http://schemas.microsoft.com/office/drawing/2014/main" id="{40FB6669-B431-4416-9CA5-03AB712E70F4}"/>
            </a:ext>
          </a:extLst>
        </xdr:cNvPr>
        <xdr:cNvSpPr/>
      </xdr:nvSpPr>
      <xdr:spPr>
        <a:xfrm>
          <a:off x="7606939" y="1842789"/>
          <a:ext cx="1187811"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INVENTORY</a:t>
          </a:r>
        </a:p>
      </xdr:txBody>
    </xdr:sp>
    <xdr:clientData/>
  </xdr:twoCellAnchor>
  <xdr:twoCellAnchor>
    <xdr:from>
      <xdr:col>4</xdr:col>
      <xdr:colOff>228600</xdr:colOff>
      <xdr:row>14</xdr:row>
      <xdr:rowOff>166974</xdr:rowOff>
    </xdr:from>
    <xdr:to>
      <xdr:col>5</xdr:col>
      <xdr:colOff>533760</xdr:colOff>
      <xdr:row>17</xdr:row>
      <xdr:rowOff>83292</xdr:rowOff>
    </xdr:to>
    <xdr:sp macro="[0]!OpenCustomerForm" textlink="">
      <xdr:nvSpPr>
        <xdr:cNvPr id="5" name="Rectangle: Rounded Corners 4">
          <a:extLst>
            <a:ext uri="{FF2B5EF4-FFF2-40B4-BE49-F238E27FC236}">
              <a16:creationId xmlns:a16="http://schemas.microsoft.com/office/drawing/2014/main" id="{D5D15D77-E26F-4698-B700-3E6135216726}"/>
            </a:ext>
          </a:extLst>
        </xdr:cNvPr>
        <xdr:cNvSpPr/>
      </xdr:nvSpPr>
      <xdr:spPr>
        <a:xfrm>
          <a:off x="2501900" y="2859374"/>
          <a:ext cx="1187810"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CUSTOMERS</a:t>
          </a:r>
        </a:p>
      </xdr:txBody>
    </xdr:sp>
    <xdr:clientData/>
  </xdr:twoCellAnchor>
  <xdr:twoCellAnchor>
    <xdr:from>
      <xdr:col>7</xdr:col>
      <xdr:colOff>133170</xdr:colOff>
      <xdr:row>14</xdr:row>
      <xdr:rowOff>165683</xdr:rowOff>
    </xdr:from>
    <xdr:to>
      <xdr:col>8</xdr:col>
      <xdr:colOff>438330</xdr:colOff>
      <xdr:row>17</xdr:row>
      <xdr:rowOff>84581</xdr:rowOff>
    </xdr:to>
    <xdr:sp macro="[0]!OpenSupplierForm" textlink="">
      <xdr:nvSpPr>
        <xdr:cNvPr id="6" name="Rectangle: Rounded Corners 5">
          <a:extLst>
            <a:ext uri="{FF2B5EF4-FFF2-40B4-BE49-F238E27FC236}">
              <a16:creationId xmlns:a16="http://schemas.microsoft.com/office/drawing/2014/main" id="{067CD380-1C48-4A6A-B072-6EAEE8874A96}"/>
            </a:ext>
          </a:extLst>
        </xdr:cNvPr>
        <xdr:cNvSpPr/>
      </xdr:nvSpPr>
      <xdr:spPr>
        <a:xfrm>
          <a:off x="5054420" y="2858083"/>
          <a:ext cx="1187810" cy="47134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SUPPLIERS</a:t>
          </a:r>
        </a:p>
      </xdr:txBody>
    </xdr:sp>
    <xdr:clientData/>
  </xdr:twoCellAnchor>
  <xdr:twoCellAnchor>
    <xdr:from>
      <xdr:col>10</xdr:col>
      <xdr:colOff>37739</xdr:colOff>
      <xdr:row>14</xdr:row>
      <xdr:rowOff>165684</xdr:rowOff>
    </xdr:from>
    <xdr:to>
      <xdr:col>11</xdr:col>
      <xdr:colOff>342900</xdr:colOff>
      <xdr:row>17</xdr:row>
      <xdr:rowOff>84582</xdr:rowOff>
    </xdr:to>
    <xdr:sp macro="[0]!OpenProductForm" textlink="">
      <xdr:nvSpPr>
        <xdr:cNvPr id="7" name="Rectangle: Rounded Corners 6">
          <a:extLst>
            <a:ext uri="{FF2B5EF4-FFF2-40B4-BE49-F238E27FC236}">
              <a16:creationId xmlns:a16="http://schemas.microsoft.com/office/drawing/2014/main" id="{3B92334E-4407-4728-8BE2-E2D2A0DEA36C}"/>
            </a:ext>
          </a:extLst>
        </xdr:cNvPr>
        <xdr:cNvSpPr/>
      </xdr:nvSpPr>
      <xdr:spPr>
        <a:xfrm>
          <a:off x="7606939" y="2858084"/>
          <a:ext cx="1187811" cy="47134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PRODUCTS</a:t>
          </a:r>
        </a:p>
      </xdr:txBody>
    </xdr:sp>
    <xdr:clientData/>
  </xdr:twoCellAnchor>
  <xdr:twoCellAnchor>
    <xdr:from>
      <xdr:col>4</xdr:col>
      <xdr:colOff>228600</xdr:colOff>
      <xdr:row>20</xdr:row>
      <xdr:rowOff>78659</xdr:rowOff>
    </xdr:from>
    <xdr:to>
      <xdr:col>5</xdr:col>
      <xdr:colOff>533760</xdr:colOff>
      <xdr:row>22</xdr:row>
      <xdr:rowOff>179126</xdr:rowOff>
    </xdr:to>
    <xdr:sp macro="[0]!OpenInvoice" textlink="">
      <xdr:nvSpPr>
        <xdr:cNvPr id="8" name="Rectangle: Rounded Corners 7">
          <a:extLst>
            <a:ext uri="{FF2B5EF4-FFF2-40B4-BE49-F238E27FC236}">
              <a16:creationId xmlns:a16="http://schemas.microsoft.com/office/drawing/2014/main" id="{92FDAA74-DE79-4E61-B643-CA5137C73719}"/>
            </a:ext>
          </a:extLst>
        </xdr:cNvPr>
        <xdr:cNvSpPr/>
      </xdr:nvSpPr>
      <xdr:spPr>
        <a:xfrm>
          <a:off x="2501900" y="3875959"/>
          <a:ext cx="1187810" cy="46876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INVOICE</a:t>
          </a:r>
        </a:p>
      </xdr:txBody>
    </xdr:sp>
    <xdr:clientData/>
  </xdr:twoCellAnchor>
  <xdr:twoCellAnchor>
    <xdr:from>
      <xdr:col>7</xdr:col>
      <xdr:colOff>133170</xdr:colOff>
      <xdr:row>20</xdr:row>
      <xdr:rowOff>77368</xdr:rowOff>
    </xdr:from>
    <xdr:to>
      <xdr:col>8</xdr:col>
      <xdr:colOff>438330</xdr:colOff>
      <xdr:row>22</xdr:row>
      <xdr:rowOff>180415</xdr:rowOff>
    </xdr:to>
    <xdr:sp macro="[0]!OpenReports" textlink="">
      <xdr:nvSpPr>
        <xdr:cNvPr id="9" name="Rectangle: Rounded Corners 8">
          <a:extLst>
            <a:ext uri="{FF2B5EF4-FFF2-40B4-BE49-F238E27FC236}">
              <a16:creationId xmlns:a16="http://schemas.microsoft.com/office/drawing/2014/main" id="{9625D5F7-EAB4-4DFC-B6DA-62D8D0B9C301}"/>
            </a:ext>
          </a:extLst>
        </xdr:cNvPr>
        <xdr:cNvSpPr/>
      </xdr:nvSpPr>
      <xdr:spPr>
        <a:xfrm>
          <a:off x="5054420" y="3874668"/>
          <a:ext cx="1187810" cy="47134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REPORTS</a:t>
          </a:r>
        </a:p>
      </xdr:txBody>
    </xdr:sp>
    <xdr:clientData/>
  </xdr:twoCellAnchor>
  <xdr:twoCellAnchor>
    <xdr:from>
      <xdr:col>10</xdr:col>
      <xdr:colOff>37739</xdr:colOff>
      <xdr:row>20</xdr:row>
      <xdr:rowOff>78659</xdr:rowOff>
    </xdr:from>
    <xdr:to>
      <xdr:col>11</xdr:col>
      <xdr:colOff>342900</xdr:colOff>
      <xdr:row>22</xdr:row>
      <xdr:rowOff>179126</xdr:rowOff>
    </xdr:to>
    <xdr:sp macro="[0]!RefreshDashboard" textlink="">
      <xdr:nvSpPr>
        <xdr:cNvPr id="10" name="Rectangle: Rounded Corners 9">
          <a:extLst>
            <a:ext uri="{FF2B5EF4-FFF2-40B4-BE49-F238E27FC236}">
              <a16:creationId xmlns:a16="http://schemas.microsoft.com/office/drawing/2014/main" id="{03918B7D-C043-479F-9C66-5156317BE829}"/>
            </a:ext>
          </a:extLst>
        </xdr:cNvPr>
        <xdr:cNvSpPr/>
      </xdr:nvSpPr>
      <xdr:spPr>
        <a:xfrm>
          <a:off x="7606939" y="3875959"/>
          <a:ext cx="1187811" cy="46876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DASHBOARD</a:t>
          </a:r>
        </a:p>
      </xdr:txBody>
    </xdr:sp>
    <xdr:clientData/>
  </xdr:twoCellAnchor>
  <xdr:twoCellAnchor>
    <xdr:from>
      <xdr:col>12</xdr:col>
      <xdr:colOff>774700</xdr:colOff>
      <xdr:row>5</xdr:row>
      <xdr:rowOff>114300</xdr:rowOff>
    </xdr:from>
    <xdr:to>
      <xdr:col>13</xdr:col>
      <xdr:colOff>831850</xdr:colOff>
      <xdr:row>6</xdr:row>
      <xdr:rowOff>279400</xdr:rowOff>
    </xdr:to>
    <xdr:sp macro="[0]!OpenUserGuide" textlink="">
      <xdr:nvSpPr>
        <xdr:cNvPr id="11" name="Rectangle: Rounded Corners 10">
          <a:extLst>
            <a:ext uri="{FF2B5EF4-FFF2-40B4-BE49-F238E27FC236}">
              <a16:creationId xmlns:a16="http://schemas.microsoft.com/office/drawing/2014/main" id="{DD8DAE77-F9D0-2583-6BB0-B6D715D9AA74}"/>
            </a:ext>
          </a:extLst>
        </xdr:cNvPr>
        <xdr:cNvSpPr/>
      </xdr:nvSpPr>
      <xdr:spPr>
        <a:xfrm>
          <a:off x="10109200" y="1035050"/>
          <a:ext cx="939800" cy="349250"/>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solidFill>
                <a:schemeClr val="bg1"/>
              </a:solidFill>
            </a:rPr>
            <a:t>USER GUIDE</a:t>
          </a:r>
          <a:endParaRPr lang="en-IN"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598715</xdr:colOff>
      <xdr:row>0</xdr:row>
      <xdr:rowOff>172357</xdr:rowOff>
    </xdr:from>
    <xdr:to>
      <xdr:col>18</xdr:col>
      <xdr:colOff>0</xdr:colOff>
      <xdr:row>3</xdr:row>
      <xdr:rowOff>0</xdr:rowOff>
    </xdr:to>
    <xdr:sp macro="[0]!GenerateInvoice" textlink="">
      <xdr:nvSpPr>
        <xdr:cNvPr id="2" name="Rectangle: Rounded Corners 1">
          <a:extLst>
            <a:ext uri="{FF2B5EF4-FFF2-40B4-BE49-F238E27FC236}">
              <a16:creationId xmlns:a16="http://schemas.microsoft.com/office/drawing/2014/main" id="{FB5C54FD-E52E-73C6-D958-C2118085CF14}"/>
            </a:ext>
          </a:extLst>
        </xdr:cNvPr>
        <xdr:cNvSpPr/>
      </xdr:nvSpPr>
      <xdr:spPr>
        <a:xfrm>
          <a:off x="12436929" y="172357"/>
          <a:ext cx="1832428" cy="371929"/>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b="1">
              <a:solidFill>
                <a:schemeClr val="bg1"/>
              </a:solidFill>
            </a:rPr>
            <a:t>Generate Invoice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14941</xdr:colOff>
      <xdr:row>8</xdr:row>
      <xdr:rowOff>0</xdr:rowOff>
    </xdr:from>
    <xdr:to>
      <xdr:col>14</xdr:col>
      <xdr:colOff>22411</xdr:colOff>
      <xdr:row>9</xdr:row>
      <xdr:rowOff>171823</xdr:rowOff>
    </xdr:to>
    <xdr:sp macro="[0]!OpenInventory" textlink="">
      <xdr:nvSpPr>
        <xdr:cNvPr id="2" name="Rectangle: Rounded Corners 1">
          <a:extLst>
            <a:ext uri="{FF2B5EF4-FFF2-40B4-BE49-F238E27FC236}">
              <a16:creationId xmlns:a16="http://schemas.microsoft.com/office/drawing/2014/main" id="{6651E1B4-DE76-E335-602F-FFAB290D4E93}"/>
            </a:ext>
          </a:extLst>
        </xdr:cNvPr>
        <xdr:cNvSpPr/>
      </xdr:nvSpPr>
      <xdr:spPr>
        <a:xfrm>
          <a:off x="11153588" y="1778000"/>
          <a:ext cx="1322294" cy="35858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lt1"/>
              </a:solidFill>
              <a:latin typeface="+mn-lt"/>
              <a:ea typeface="+mn-ea"/>
              <a:cs typeface="+mn-cs"/>
            </a:rPr>
            <a:t>Refresh Inventory</a:t>
          </a:r>
          <a:endParaRPr lang="en-IN"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235857</xdr:colOff>
      <xdr:row>0</xdr:row>
      <xdr:rowOff>172357</xdr:rowOff>
    </xdr:from>
    <xdr:to>
      <xdr:col>11</xdr:col>
      <xdr:colOff>0</xdr:colOff>
      <xdr:row>3</xdr:row>
      <xdr:rowOff>0</xdr:rowOff>
    </xdr:to>
    <xdr:sp macro="[0]!ExportInvoicePDF" textlink="">
      <xdr:nvSpPr>
        <xdr:cNvPr id="2" name="Rectangle: Rounded Corners 1">
          <a:extLst>
            <a:ext uri="{FF2B5EF4-FFF2-40B4-BE49-F238E27FC236}">
              <a16:creationId xmlns:a16="http://schemas.microsoft.com/office/drawing/2014/main" id="{1CF506DB-A9F8-742F-A9FE-9241DF1E7183}"/>
            </a:ext>
          </a:extLst>
        </xdr:cNvPr>
        <xdr:cNvSpPr/>
      </xdr:nvSpPr>
      <xdr:spPr>
        <a:xfrm>
          <a:off x="8146143" y="172357"/>
          <a:ext cx="1841500" cy="371929"/>
        </a:xfrm>
        <a:prstGeom prst="roundRect">
          <a:avLst/>
        </a:prstGeom>
        <a:solidFill>
          <a:srgbClr val="16324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Export Invoice PDF</a:t>
          </a:r>
          <a:endParaRPr lang="en-IN"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16</xdr:row>
      <xdr:rowOff>161637</xdr:rowOff>
    </xdr:from>
    <xdr:to>
      <xdr:col>8</xdr:col>
      <xdr:colOff>692727</xdr:colOff>
      <xdr:row>30</xdr:row>
      <xdr:rowOff>161637</xdr:rowOff>
    </xdr:to>
    <xdr:graphicFrame macro="">
      <xdr:nvGraphicFramePr>
        <xdr:cNvPr id="2" name="Chart 1">
          <a:extLst>
            <a:ext uri="{FF2B5EF4-FFF2-40B4-BE49-F238E27FC236}">
              <a16:creationId xmlns:a16="http://schemas.microsoft.com/office/drawing/2014/main" id="{5FA7ED6C-62EF-4F60-90EC-557A9DED26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46181</xdr:colOff>
      <xdr:row>17</xdr:row>
      <xdr:rowOff>11545</xdr:rowOff>
    </xdr:from>
    <xdr:to>
      <xdr:col>16</xdr:col>
      <xdr:colOff>34637</xdr:colOff>
      <xdr:row>30</xdr:row>
      <xdr:rowOff>173182</xdr:rowOff>
    </xdr:to>
    <xdr:graphicFrame macro="">
      <xdr:nvGraphicFramePr>
        <xdr:cNvPr id="3" name="Chart 2">
          <a:extLst>
            <a:ext uri="{FF2B5EF4-FFF2-40B4-BE49-F238E27FC236}">
              <a16:creationId xmlns:a16="http://schemas.microsoft.com/office/drawing/2014/main" id="{9F8AF53B-75F9-45EF-9C53-DAB584B51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789215</xdr:colOff>
      <xdr:row>31</xdr:row>
      <xdr:rowOff>154215</xdr:rowOff>
    </xdr:from>
    <xdr:to>
      <xdr:col>16</xdr:col>
      <xdr:colOff>9071</xdr:colOff>
      <xdr:row>34</xdr:row>
      <xdr:rowOff>18143</xdr:rowOff>
    </xdr:to>
    <xdr:sp macro="[0]!RefreshDashboard" textlink="">
      <xdr:nvSpPr>
        <xdr:cNvPr id="4" name="Rectangle: Rounded Corners 3">
          <a:extLst>
            <a:ext uri="{FF2B5EF4-FFF2-40B4-BE49-F238E27FC236}">
              <a16:creationId xmlns:a16="http://schemas.microsoft.com/office/drawing/2014/main" id="{2B13C1E5-DF9C-5EE9-6442-13A9992C71C7}"/>
            </a:ext>
          </a:extLst>
        </xdr:cNvPr>
        <xdr:cNvSpPr/>
      </xdr:nvSpPr>
      <xdr:spPr>
        <a:xfrm>
          <a:off x="10023929" y="5832929"/>
          <a:ext cx="2485571" cy="408214"/>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Refresh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806824</xdr:colOff>
      <xdr:row>12</xdr:row>
      <xdr:rowOff>141942</xdr:rowOff>
    </xdr:from>
    <xdr:to>
      <xdr:col>4</xdr:col>
      <xdr:colOff>0</xdr:colOff>
      <xdr:row>14</xdr:row>
      <xdr:rowOff>119530</xdr:rowOff>
    </xdr:to>
    <xdr:sp macro="[0]!ViewSalesReport" textlink="">
      <xdr:nvSpPr>
        <xdr:cNvPr id="5" name="Rectangle: Rounded Corners 4">
          <a:extLst>
            <a:ext uri="{FF2B5EF4-FFF2-40B4-BE49-F238E27FC236}">
              <a16:creationId xmlns:a16="http://schemas.microsoft.com/office/drawing/2014/main" id="{0837E103-A3F4-8D91-BD09-D850580CCFC0}"/>
            </a:ext>
          </a:extLst>
        </xdr:cNvPr>
        <xdr:cNvSpPr/>
      </xdr:nvSpPr>
      <xdr:spPr>
        <a:xfrm>
          <a:off x="1060824"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Sales</a:t>
          </a:r>
          <a:endParaRPr lang="en-IN" sz="1100" b="1"/>
        </a:p>
      </xdr:txBody>
    </xdr:sp>
    <xdr:clientData/>
  </xdr:twoCellAnchor>
  <xdr:twoCellAnchor>
    <xdr:from>
      <xdr:col>7</xdr:col>
      <xdr:colOff>395941</xdr:colOff>
      <xdr:row>12</xdr:row>
      <xdr:rowOff>141942</xdr:rowOff>
    </xdr:from>
    <xdr:to>
      <xdr:col>9</xdr:col>
      <xdr:colOff>403411</xdr:colOff>
      <xdr:row>14</xdr:row>
      <xdr:rowOff>119530</xdr:rowOff>
    </xdr:to>
    <xdr:sp macro="[0]!ViewPurchaseReport" textlink="">
      <xdr:nvSpPr>
        <xdr:cNvPr id="6" name="Rectangle: Rounded Corners 5">
          <a:extLst>
            <a:ext uri="{FF2B5EF4-FFF2-40B4-BE49-F238E27FC236}">
              <a16:creationId xmlns:a16="http://schemas.microsoft.com/office/drawing/2014/main" id="{D376F551-BE61-8D35-C80E-AB6621A322F4}"/>
            </a:ext>
          </a:extLst>
        </xdr:cNvPr>
        <xdr:cNvSpPr/>
      </xdr:nvSpPr>
      <xdr:spPr>
        <a:xfrm>
          <a:off x="5535706"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Purchases</a:t>
          </a:r>
          <a:endParaRPr lang="en-IN" sz="1100"/>
        </a:p>
      </xdr:txBody>
    </xdr:sp>
    <xdr:clientData/>
  </xdr:twoCellAnchor>
  <xdr:twoCellAnchor>
    <xdr:from>
      <xdr:col>12</xdr:col>
      <xdr:colOff>448235</xdr:colOff>
      <xdr:row>12</xdr:row>
      <xdr:rowOff>141942</xdr:rowOff>
    </xdr:from>
    <xdr:to>
      <xdr:col>14</xdr:col>
      <xdr:colOff>455704</xdr:colOff>
      <xdr:row>14</xdr:row>
      <xdr:rowOff>119530</xdr:rowOff>
    </xdr:to>
    <xdr:sp macro="[0]!ViewInventoryReport" textlink="">
      <xdr:nvSpPr>
        <xdr:cNvPr id="7" name="Rectangle: Rounded Corners 6">
          <a:extLst>
            <a:ext uri="{FF2B5EF4-FFF2-40B4-BE49-F238E27FC236}">
              <a16:creationId xmlns:a16="http://schemas.microsoft.com/office/drawing/2014/main" id="{BDE2F69F-43F9-D980-ED53-8A032E7B188F}"/>
            </a:ext>
          </a:extLst>
        </xdr:cNvPr>
        <xdr:cNvSpPr/>
      </xdr:nvSpPr>
      <xdr:spPr>
        <a:xfrm>
          <a:off x="9659470"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Inventory</a:t>
          </a:r>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akiram" refreshedDate="46251.833703935183" createdVersion="8" refreshedVersion="8" minRefreshableVersion="3" recordCount="6" xr:uid="{ECC5FF4F-042D-4D29-AD61-1DA0C607E0D4}">
  <cacheSource type="worksheet">
    <worksheetSource name="tblPurchases"/>
  </cacheSource>
  <cacheFields count="13">
    <cacheField name="Purchase_ID" numFmtId="0">
      <sharedItems/>
    </cacheField>
    <cacheField name="Purchase_No" numFmtId="0">
      <sharedItems/>
    </cacheField>
    <cacheField name="Purchase_Date" numFmtId="14">
      <sharedItems containsSemiMixedTypes="0" containsNonDate="0" containsDate="1" containsString="0" minDate="2026-08-14T00:00:00" maxDate="2026-08-18T00:00:00"/>
    </cacheField>
    <cacheField name="Supplier_ID" numFmtId="0">
      <sharedItems/>
    </cacheField>
    <cacheField name="Supplier_Name" numFmtId="0">
      <sharedItems containsBlank="1" count="5">
        <s v="TechSource India"/>
        <s v="Digital Edge Wholesale"/>
        <s v="OfficeHub Distributors"/>
        <s v="Amazon"/>
        <m u="1"/>
      </sharedItems>
    </cacheField>
    <cacheField name="Product_ID" numFmtId="0">
      <sharedItems/>
    </cacheField>
    <cacheField name="Product_Name" numFmtId="0">
      <sharedItems/>
    </cacheField>
    <cacheField name="Quantity" numFmtId="0">
      <sharedItems containsSemiMixedTypes="0" containsString="0" containsNumber="1" containsInteger="1" minValue="10" maxValue="50"/>
    </cacheField>
    <cacheField name="Unit_Cost" numFmtId="0">
      <sharedItems containsSemiMixedTypes="0" containsString="0" containsNumber="1" containsInteger="1" minValue="220" maxValue="1100"/>
    </cacheField>
    <cacheField name="Line_Total" numFmtId="0">
      <sharedItems containsSemiMixedTypes="0" containsString="0" containsNumber="1" containsInteger="1" minValue="6000" maxValue="16500"/>
    </cacheField>
    <cacheField name="Payment_Status" numFmtId="0">
      <sharedItems/>
    </cacheField>
    <cacheField name="User_Name" numFmtId="0">
      <sharedItems/>
    </cacheField>
    <cacheField name="Created_Time" numFmtId="22">
      <sharedItems containsSemiMixedTypes="0" containsNonDate="0" containsDate="1" containsString="0" minDate="2026-08-14T23:40:13" maxDate="2026-08-17T19:57: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akiram" refreshedDate="46251.833703935183" createdVersion="8" refreshedVersion="8" minRefreshableVersion="3" recordCount="10" xr:uid="{0FF61D7F-9057-434F-8A27-B74E9A805980}">
  <cacheSource type="worksheet">
    <worksheetSource name="tblSales"/>
  </cacheSource>
  <cacheFields count="14">
    <cacheField name="Sale_ID" numFmtId="0">
      <sharedItems/>
    </cacheField>
    <cacheField name="Invoice_No" numFmtId="0">
      <sharedItems/>
    </cacheField>
    <cacheField name="Sale_Date" numFmtId="14">
      <sharedItems containsSemiMixedTypes="0" containsNonDate="0" containsDate="1" containsString="0" minDate="2026-08-15T00:00:00" maxDate="2026-08-18T00:00:00"/>
    </cacheField>
    <cacheField name="Customer_ID" numFmtId="0">
      <sharedItems/>
    </cacheField>
    <cacheField name="Customer_Name" numFmtId="0">
      <sharedItems/>
    </cacheField>
    <cacheField name="Product_ID" numFmtId="0">
      <sharedItems/>
    </cacheField>
    <cacheField name="Product_Name" numFmtId="0">
      <sharedItems containsBlank="1" count="6">
        <s v="Wireless Keyboard"/>
        <s v="Wireless Mouse"/>
        <s v="A4 Paper Pack"/>
        <s v="USB-C Hub"/>
        <s v="Desk Organizer"/>
        <m u="1"/>
      </sharedItems>
    </cacheField>
    <cacheField name="Quantity" numFmtId="0">
      <sharedItems containsSemiMixedTypes="0" containsString="0" containsNumber="1" containsInteger="1" minValue="1" maxValue="50"/>
    </cacheField>
    <cacheField name="Unit_Price" numFmtId="0">
      <sharedItems containsSemiMixedTypes="0" containsString="0" containsNumber="1" containsInteger="1" minValue="320" maxValue="1550"/>
    </cacheField>
    <cacheField name="Discount" numFmtId="0">
      <sharedItems containsSemiMixedTypes="0" containsString="0" containsNumber="1" containsInteger="1" minValue="0" maxValue="200"/>
    </cacheField>
    <cacheField name="Tax" numFmtId="0">
      <sharedItems containsSemiMixedTypes="0" containsString="0" containsNumber="1" minValue="198" maxValue="10782"/>
    </cacheField>
    <cacheField name="Line_Total" numFmtId="0">
      <sharedItems containsSemiMixedTypes="0" containsString="0" containsNumber="1" minValue="1298" maxValue="70682"/>
    </cacheField>
    <cacheField name="User_Name" numFmtId="0">
      <sharedItems/>
    </cacheField>
    <cacheField name="Created_Time" numFmtId="22">
      <sharedItems containsSemiMixedTypes="0" containsNonDate="0" containsDate="1" containsString="0" minDate="2026-08-15T17:21:58" maxDate="2026-08-17T19:59:3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PUR-00001"/>
    <s v="PO-2026-00001"/>
    <d v="2026-08-14T00:00:00"/>
    <s v="SUP-00001"/>
    <x v="0"/>
    <s v="PRD-00001"/>
    <s v="Wireless Keyboard"/>
    <n v="10"/>
    <n v="800"/>
    <n v="8000"/>
    <s v="Paid"/>
    <s v="janakiram"/>
    <d v="2026-08-14T23:40:13"/>
  </r>
  <r>
    <s v="PUR-00002"/>
    <s v="PO-2026-00002"/>
    <d v="2026-08-15T00:00:00"/>
    <s v="SUP-00001"/>
    <x v="0"/>
    <s v="PRD-00002"/>
    <s v="Wireless Mouse"/>
    <n v="25"/>
    <n v="550"/>
    <n v="13750"/>
    <s v="Pending"/>
    <s v="janakiram"/>
    <d v="2026-08-15T19:48:29"/>
  </r>
  <r>
    <s v="PUR-00003"/>
    <s v="PO-2026-00003"/>
    <d v="2026-08-15T00:00:00"/>
    <s v="SUP-00003"/>
    <x v="1"/>
    <s v="PRD-00003"/>
    <s v="USB-C Hub"/>
    <n v="15"/>
    <n v="1100"/>
    <n v="16500"/>
    <s v="Paid"/>
    <s v="janakiram"/>
    <d v="2026-08-15T19:49:01"/>
  </r>
  <r>
    <s v="PUR-00004"/>
    <s v="PO-2026-00004"/>
    <d v="2026-08-15T00:00:00"/>
    <s v="SUP-00002"/>
    <x v="2"/>
    <s v="PRD-00004"/>
    <s v="A4 Paper Pack"/>
    <n v="50"/>
    <n v="220"/>
    <n v="11000"/>
    <s v="Paid"/>
    <s v="janakiram"/>
    <d v="2026-08-15T19:49:25"/>
  </r>
  <r>
    <s v="PUR-00005"/>
    <s v="PO-2026-00005"/>
    <d v="2026-08-15T00:00:00"/>
    <s v="SUP-00002"/>
    <x v="2"/>
    <s v="PRD-00005"/>
    <s v="Desk Organizer"/>
    <n v="20"/>
    <n v="300"/>
    <n v="6000"/>
    <s v="Pending"/>
    <s v="janakiram"/>
    <d v="2026-08-15T19:50:01"/>
  </r>
  <r>
    <s v="PUR-00006"/>
    <s v="PO-2026-00006"/>
    <d v="2026-08-17T00:00:00"/>
    <s v="SUP-00004"/>
    <x v="3"/>
    <s v="PRD-00004"/>
    <s v="A4 Paper Pack"/>
    <n v="50"/>
    <n v="220"/>
    <n v="11000"/>
    <s v="Paid"/>
    <s v="janakiram"/>
    <d v="2026-08-17T19:57:4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SALE-00001"/>
    <s v="INV-2026-00001"/>
    <d v="2026-08-15T00:00:00"/>
    <s v="CUS-00001"/>
    <s v="Arjun Enterprises"/>
    <s v="PRD-00001"/>
    <x v="0"/>
    <n v="1"/>
    <n v="1200"/>
    <n v="100"/>
    <n v="198"/>
    <n v="1298"/>
    <s v="janakiram"/>
    <d v="2026-08-15T17:21:58"/>
  </r>
  <r>
    <s v="SALE-00002"/>
    <s v="INV-2026-00002"/>
    <d v="2026-08-15T00:00:00"/>
    <s v="CUS-00002"/>
    <s v="Priya Sharma"/>
    <s v="PRD-00002"/>
    <x v="1"/>
    <n v="6"/>
    <n v="850"/>
    <n v="100"/>
    <n v="900"/>
    <n v="5900"/>
    <s v="janakiram"/>
    <d v="2026-08-15T19:58:56"/>
  </r>
  <r>
    <s v="SALE-00002"/>
    <s v="INV-2026-00002"/>
    <d v="2026-08-15T00:00:00"/>
    <s v="CUS-00002"/>
    <s v="Priya Sharma"/>
    <s v="PRD-00004"/>
    <x v="2"/>
    <n v="15"/>
    <n v="320"/>
    <n v="50"/>
    <n v="855"/>
    <n v="5605"/>
    <s v="janakiram"/>
    <d v="2026-08-15T19:58:56"/>
  </r>
  <r>
    <s v="SALE-00003"/>
    <s v="INV-2026-00003"/>
    <d v="2026-08-15T00:00:00"/>
    <s v="CUS-00003"/>
    <s v="Rahul Verma"/>
    <s v="PRD-00003"/>
    <x v="3"/>
    <n v="6"/>
    <n v="1550"/>
    <n v="200"/>
    <n v="1638"/>
    <n v="10738"/>
    <s v="janakiram"/>
    <d v="2026-08-15T20:00:16"/>
  </r>
  <r>
    <s v="SALE-00003"/>
    <s v="INV-2026-00003"/>
    <d v="2026-08-15T00:00:00"/>
    <s v="CUS-00003"/>
    <s v="Rahul Verma"/>
    <s v="PRD-00005"/>
    <x v="4"/>
    <n v="8"/>
    <n v="450"/>
    <n v="75"/>
    <n v="634.5"/>
    <n v="4159.5"/>
    <s v="janakiram"/>
    <d v="2026-08-15T20:00:16"/>
  </r>
  <r>
    <s v="SALE-00004"/>
    <s v="INV-2026-00004"/>
    <d v="2026-08-15T00:00:00"/>
    <s v="CUS-00001"/>
    <s v="Arjun Enterprises"/>
    <s v="PRD-00002"/>
    <x v="1"/>
    <n v="7"/>
    <n v="850"/>
    <n v="0"/>
    <n v="1071"/>
    <n v="7021"/>
    <s v="janakiram"/>
    <d v="2026-08-15T20:02:25"/>
  </r>
  <r>
    <s v="SALE-00004"/>
    <s v="INV-2026-00004"/>
    <d v="2026-08-15T00:00:00"/>
    <s v="CUS-00001"/>
    <s v="Arjun Enterprises"/>
    <s v="PRD-00005"/>
    <x v="4"/>
    <n v="5"/>
    <n v="450"/>
    <n v="0"/>
    <n v="405"/>
    <n v="2655"/>
    <s v="janakiram"/>
    <d v="2026-08-15T20:02:25"/>
  </r>
  <r>
    <s v="SALE-00004"/>
    <s v="INV-2026-00004"/>
    <d v="2026-08-15T00:00:00"/>
    <s v="CUS-00001"/>
    <s v="Arjun Enterprises"/>
    <s v="PRD-00003"/>
    <x v="3"/>
    <n v="5"/>
    <n v="1550"/>
    <n v="100"/>
    <n v="1377"/>
    <n v="9027"/>
    <s v="janakiram"/>
    <d v="2026-08-15T20:02:25"/>
  </r>
  <r>
    <s v="SALE-00005"/>
    <s v="INV-2026-00005"/>
    <d v="2026-08-17T00:00:00"/>
    <s v="CUS-00004"/>
    <s v="JanakiRam"/>
    <s v="PRD-00004"/>
    <x v="2"/>
    <n v="10"/>
    <n v="320"/>
    <n v="100"/>
    <n v="558"/>
    <n v="3658"/>
    <s v="janakiram"/>
    <d v="2026-08-17T19:59:37"/>
  </r>
  <r>
    <s v="SALE-00005"/>
    <s v="INV-2026-00005"/>
    <d v="2026-08-17T00:00:00"/>
    <s v="CUS-00004"/>
    <s v="JanakiRam"/>
    <s v="PRD-00001"/>
    <x v="0"/>
    <n v="50"/>
    <n v="1200"/>
    <n v="100"/>
    <n v="10782"/>
    <n v="70682"/>
    <s v="janakiram"/>
    <d v="2026-08-17T19:59: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5B3A91-F9DC-45C4-AEC9-95A2D045AD94}"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W1:X5" firstHeaderRow="1" firstDataRow="1" firstDataCol="1"/>
  <pivotFields count="13">
    <pivotField showAll="0"/>
    <pivotField showAll="0"/>
    <pivotField showAll="0"/>
    <pivotField showAll="0"/>
    <pivotField axis="axisRow" showAll="0">
      <items count="6">
        <item x="0"/>
        <item h="1" m="1" x="4"/>
        <item x="1"/>
        <item x="2"/>
        <item h="1" x="3"/>
        <item t="default"/>
      </items>
    </pivotField>
    <pivotField showAll="0"/>
    <pivotField showAll="0"/>
    <pivotField showAll="0"/>
    <pivotField showAll="0"/>
    <pivotField dataField="1" showAll="0"/>
    <pivotField showAll="0"/>
    <pivotField showAll="0"/>
    <pivotField showAll="0"/>
  </pivotFields>
  <rowFields count="1">
    <field x="4"/>
  </rowFields>
  <rowItems count="4">
    <i>
      <x/>
    </i>
    <i>
      <x v="2"/>
    </i>
    <i>
      <x v="3"/>
    </i>
    <i t="grand">
      <x/>
    </i>
  </rowItems>
  <colItems count="1">
    <i/>
  </colItems>
  <dataFields count="1">
    <dataField name="Sum of Line_Total" fld="9"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1A392B-8335-4EC1-9E51-64F60C2CC5BC}"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S1:T7" firstHeaderRow="1" firstDataRow="1" firstDataCol="1"/>
  <pivotFields count="14">
    <pivotField showAll="0"/>
    <pivotField showAll="0"/>
    <pivotField showAll="0"/>
    <pivotField showAll="0"/>
    <pivotField showAll="0"/>
    <pivotField showAll="0"/>
    <pivotField axis="axisRow" showAll="0">
      <items count="7">
        <item x="0"/>
        <item h="1" m="1" x="5"/>
        <item x="1"/>
        <item x="2"/>
        <item x="3"/>
        <item x="4"/>
        <item t="default"/>
      </items>
    </pivotField>
    <pivotField showAll="0"/>
    <pivotField showAll="0"/>
    <pivotField showAll="0"/>
    <pivotField showAll="0"/>
    <pivotField dataField="1" showAll="0"/>
    <pivotField showAll="0"/>
    <pivotField showAll="0"/>
  </pivotFields>
  <rowFields count="1">
    <field x="6"/>
  </rowFields>
  <rowItems count="6">
    <i>
      <x/>
    </i>
    <i>
      <x v="2"/>
    </i>
    <i>
      <x v="3"/>
    </i>
    <i>
      <x v="4"/>
    </i>
    <i>
      <x v="5"/>
    </i>
    <i t="grand">
      <x/>
    </i>
  </rowItems>
  <colItems count="1">
    <i/>
  </colItems>
  <dataFields count="1">
    <dataField name="Sum of Line_Total" fld="1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9485DC-1D15-4DBE-82DB-D137482E296A}" name="tblProducts" displayName="tblProducts" ref="A1:L20" totalsRowShown="0" headerRowDxfId="6">
  <autoFilter ref="A1:L20" xr:uid="{439485DC-1D15-4DBE-82DB-D137482E296A}"/>
  <tableColumns count="12">
    <tableColumn id="1" xr3:uid="{7A5EBB3D-C1EF-42E9-B169-61000D40B9B2}" name="Product_ID"/>
    <tableColumn id="2" xr3:uid="{0B21522B-9F48-4654-BF9F-AE51F31BB522}" name="Product_Name"/>
    <tableColumn id="3" xr3:uid="{43EF44BD-CD9B-4232-A33A-5F3723AFA9FB}" name="Category"/>
    <tableColumn id="4" xr3:uid="{9AA69E06-2072-41D3-BF27-653F93688D46}" name="Supplier_ID"/>
    <tableColumn id="5" xr3:uid="{330F9692-CE7A-44A8-B878-9B69D35E2F96}" name="Purchase_Price"/>
    <tableColumn id="6" xr3:uid="{A80C9064-E0C6-43F4-832C-B9C7D1C7987D}" name="Selling_Price"/>
    <tableColumn id="7" xr3:uid="{015DF285-7FE2-4676-B2DF-AFD68EC136C0}" name="Opening_Stock"/>
    <tableColumn id="8" xr3:uid="{E5B1A411-8D6C-431A-87FF-01DBB31C8703}" name="Current_Stock"/>
    <tableColumn id="9" xr3:uid="{258782E9-9DB0-44B6-B5BB-AAA8C77639DF}" name="Reorder_Level"/>
    <tableColumn id="10" xr3:uid="{B7347D15-F252-4033-98C4-76253605B6E5}" name="SKU"/>
    <tableColumn id="11" xr3:uid="{BF84F687-3E36-42A0-BAFD-CA3A4E9AC398}" name="Status"/>
    <tableColumn id="12" xr3:uid="{C0857A08-95FB-445B-91EF-A780C2CC943F}" name="Created_Dat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39F542-AB2E-4F3A-8BDA-EE91A3FFF94C}" name="tblCustomers" displayName="tblCustomers" ref="A1:J20" totalsRowShown="0">
  <autoFilter ref="A1:J20" xr:uid="{3339F542-AB2E-4F3A-8BDA-EE91A3FFF94C}"/>
  <tableColumns count="10">
    <tableColumn id="1" xr3:uid="{96F05700-D38F-4B9D-96B7-2C0DE8FB6117}" name="Customer_ID"/>
    <tableColumn id="2" xr3:uid="{E6B4FF24-683F-40C3-AE77-CBA11F62F69C}" name="Customer_Name"/>
    <tableColumn id="3" xr3:uid="{3006FB7D-4BF0-4C8C-9BED-1E22A93D4D36}" name="Phone"/>
    <tableColumn id="4" xr3:uid="{54FAFC22-6A36-4AE9-B588-82D0CCF48172}" name="Email"/>
    <tableColumn id="5" xr3:uid="{6C191DCB-9F52-4E98-8C98-23A8AB02ACA4}" name="Company"/>
    <tableColumn id="6" xr3:uid="{9C86B59C-BE98-4FF6-9642-C2412423D3AA}" name="Address"/>
    <tableColumn id="7" xr3:uid="{1D06294C-EA74-4CC9-B388-FC51A2D40A27}" name="City"/>
    <tableColumn id="8" xr3:uid="{055D1821-EF2C-4A64-8B79-271F26BB5DA9}" name="Customer_Type"/>
    <tableColumn id="9" xr3:uid="{DE7ED938-4587-488E-892F-6222EF1488A1}" name="Status"/>
    <tableColumn id="10" xr3:uid="{0C727CA0-B6A9-4815-BD6F-77B0B7022831}" name="Created_Dat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C2F154-6962-433C-AAF7-C01542883285}" name="tblSuppliers" displayName="tblSuppliers" ref="A1:I20" totalsRowShown="0">
  <autoFilter ref="A1:I20" xr:uid="{39C2F154-6962-433C-AAF7-C01542883285}"/>
  <tableColumns count="9">
    <tableColumn id="1" xr3:uid="{2BBFFEA6-6F7F-4DB0-8EC9-A4D95DC9B5DE}" name="Supplier_ID"/>
    <tableColumn id="2" xr3:uid="{76E41CEB-CB61-41AF-84B3-A15439B370EA}" name="Supplier_Name"/>
    <tableColumn id="3" xr3:uid="{C29D4402-369B-46CE-8BAB-7613041F09EC}" name="Contact_Person"/>
    <tableColumn id="4" xr3:uid="{B2F7941A-99E9-40AA-9B23-863FA7733AE6}" name="Phone"/>
    <tableColumn id="5" xr3:uid="{B5357D59-2BEC-4736-BAF8-640EB8D86931}" name="Email"/>
    <tableColumn id="6" xr3:uid="{4C57CB9D-FB2F-4632-A5D7-6E21170939F0}" name="Category"/>
    <tableColumn id="7" xr3:uid="{228048C8-9732-488D-928D-47C6013DF7A5}" name="Address"/>
    <tableColumn id="8" xr3:uid="{9069339C-F5EB-4D12-848B-7739B08173F9}" name="Status"/>
    <tableColumn id="9" xr3:uid="{03457127-B99B-445C-BBC5-C7C8BC0E5E83}" name="Created_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ED35C-7B21-418E-B8D4-CAA8B429B3DB}" name="tblSales" displayName="tblSales" ref="A1:N12" totalsRowShown="0">
  <autoFilter ref="A1:N12" xr:uid="{48BED35C-7B21-418E-B8D4-CAA8B429B3DB}"/>
  <tableColumns count="14">
    <tableColumn id="1" xr3:uid="{D7193224-AB89-426D-ABD1-E67061A71972}" name="Sale_ID"/>
    <tableColumn id="2" xr3:uid="{D3BF8C3C-E0EB-429F-92DB-E6072DB8B987}" name="Invoice_No"/>
    <tableColumn id="3" xr3:uid="{6C349051-AFE0-4FAE-AD8C-AA205390EDE9}" name="Sale_Date"/>
    <tableColumn id="4" xr3:uid="{9606C8FC-D95B-41B1-880F-1E5AD6D22B36}" name="Customer_ID"/>
    <tableColumn id="5" xr3:uid="{68E8315E-5806-450C-89FA-34912A4FF5B4}" name="Customer_Name"/>
    <tableColumn id="6" xr3:uid="{C3087EA6-A06E-4DB3-84C6-D874FCB3FA40}" name="Product_ID"/>
    <tableColumn id="7" xr3:uid="{9A1725BA-5680-4A66-AA1F-AD3BB0D7B70D}" name="Product_Name"/>
    <tableColumn id="8" xr3:uid="{B1EC160F-77CB-4F57-9D49-E54AD27BE19B}" name="Quantity"/>
    <tableColumn id="9" xr3:uid="{D79EF567-34FF-40DA-BA94-7F0779499F76}" name="Unit_Price"/>
    <tableColumn id="10" xr3:uid="{B0F4637A-E221-4E74-93ED-734EDAA39C19}" name="Discount"/>
    <tableColumn id="11" xr3:uid="{05CFD83B-0223-4B51-B9AC-F039485F5DB1}" name="Tax"/>
    <tableColumn id="12" xr3:uid="{EA5EF602-DD93-4A07-97AA-C610F51D4E2C}" name="Line_Total"/>
    <tableColumn id="13" xr3:uid="{EEE0EBC4-1FEC-427D-B229-EF5526F67AB8}" name="User_Name"/>
    <tableColumn id="14" xr3:uid="{01A48B22-C603-4367-84AC-E9E085723DAA}" name="Created_Ti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E69F31E-098E-4DE9-8959-83D13F156BE0}" name="tblPurchases" displayName="tblPurchases" ref="A1:M8" totalsRowShown="0">
  <autoFilter ref="A1:M8" xr:uid="{DE69F31E-098E-4DE9-8959-83D13F156BE0}"/>
  <tableColumns count="13">
    <tableColumn id="1" xr3:uid="{50C591E3-BB91-484A-A395-431CF61DF89F}" name="Purchase_ID"/>
    <tableColumn id="2" xr3:uid="{656CB7F6-9DD6-42A2-82AA-E71039F84C67}" name="Purchase_No"/>
    <tableColumn id="3" xr3:uid="{F835C207-62D2-4A6D-8648-362A4EED7886}" name="Purchase_Date"/>
    <tableColumn id="4" xr3:uid="{C9CD36F4-F8D4-403E-A91F-1998AE54B6DC}" name="Supplier_ID"/>
    <tableColumn id="5" xr3:uid="{760DD333-9F72-4C7E-BD78-4617B05F1FA1}" name="Supplier_Name"/>
    <tableColumn id="6" xr3:uid="{52B47302-4BED-46DF-A906-713D0FE587BE}" name="Product_ID"/>
    <tableColumn id="7" xr3:uid="{992EFE8A-4285-43FA-BA0B-374456908867}" name="Product_Name"/>
    <tableColumn id="8" xr3:uid="{D29F0009-13E2-4F01-A458-A0F783D0E9A0}" name="Quantity"/>
    <tableColumn id="9" xr3:uid="{FDA5EB39-C6DF-403C-A42E-E6C3448BF31A}" name="Unit_Cost"/>
    <tableColumn id="10" xr3:uid="{FB9E714D-5AC0-4D3D-9388-BB814759A7C8}" name="Line_Total"/>
    <tableColumn id="11" xr3:uid="{F322498C-60C7-4CB2-BC35-30C2B5D13254}" name="Payment_Status"/>
    <tableColumn id="12" xr3:uid="{D90BA76C-4774-4252-B049-998CD6F33261}" name="User_Name"/>
    <tableColumn id="13" xr3:uid="{7C8C6F7C-E968-4A90-BBEC-0CD4D440DFFD}" name="Created_Tim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22F2E4-52FD-4260-B793-8D6D6188A3FA}" name="tblInventory" displayName="tblInventory" ref="A1:J20" totalsRowShown="0">
  <autoFilter ref="A1:J20" xr:uid="{C522F2E4-52FD-4260-B793-8D6D6188A3FA}"/>
  <tableColumns count="10">
    <tableColumn id="1" xr3:uid="{8BBBAC74-349D-406D-AD16-062F18680D37}" name="Product_ID"/>
    <tableColumn id="2" xr3:uid="{8914B40D-B088-4D0D-A88C-C6903ADD68BF}" name="Product_Name"/>
    <tableColumn id="3" xr3:uid="{052ECB02-0AF8-47E9-9123-2D196E7B98C8}" name="Category"/>
    <tableColumn id="4" xr3:uid="{7472BD40-F744-4BA6-9181-ED884D8479EE}" name="Supplier_ID"/>
    <tableColumn id="5" xr3:uid="{4F75A4F7-4BEC-4852-BAA2-81192CBF1636}" name="Current_Stock"/>
    <tableColumn id="6" xr3:uid="{CF78D3C9-1934-4313-942C-C68E021477C3}" name="Reorder_Level"/>
    <tableColumn id="7" xr3:uid="{29F96B04-C564-4EAC-8CB1-AB7E5F50ADED}" name="Stock_Status"/>
    <tableColumn id="8" xr3:uid="{443B02EA-E0A7-439F-95E7-30702858362F}" name="Purchase_Price"/>
    <tableColumn id="9" xr3:uid="{D0045B2B-2C7F-47DE-8804-59F063291272}" name="Selling_Price"/>
    <tableColumn id="10" xr3:uid="{D117825D-A6E1-4DF4-828A-50A2346295CF}" name="Stock_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2AEEDBA-F5B2-48A9-B43E-0F8B4FB2E0E3}" name="tblAuditLog" displayName="tblAuditLog" ref="A1:H8" totalsRowShown="0">
  <autoFilter ref="A1:H8" xr:uid="{52AEEDBA-F5B2-48A9-B43E-0F8B4FB2E0E3}"/>
  <tableColumns count="8">
    <tableColumn id="1" xr3:uid="{0F89F96B-0FAB-4162-A33E-B97D8023CF11}" name="Log_ID"/>
    <tableColumn id="2" xr3:uid="{93053EFF-C91C-477A-8DEB-E74B54AFB99B}" name="Log_Date" dataDxfId="5"/>
    <tableColumn id="3" xr3:uid="{067BDECF-7C7D-48E1-A116-2002189D3243}" name="Log_Time" dataDxfId="4"/>
    <tableColumn id="4" xr3:uid="{503419D1-0D2B-4E6D-BE76-6B01C3EA7AF5}" name="User_Name"/>
    <tableColumn id="5" xr3:uid="{337BD6DD-839E-4117-AF93-FBCC627A3813}" name="Action"/>
    <tableColumn id="6" xr3:uid="{A8B968F7-EF5A-4D5A-83B1-9666B621ED24}" name="Module"/>
    <tableColumn id="7" xr3:uid="{672EC67F-A354-4D56-AE85-429D5BE406A1}" name="Record_ID"/>
    <tableColumn id="8" xr3:uid="{241C352E-A809-497E-8C93-F929ADA91255}" name="Details"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hyperlink" Target="mailto:info@smartbizdemo.com"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6579-85A3-490F-AEFE-D374C2C035B1}">
  <sheetPr codeName="Sheet1"/>
  <dimension ref="A1:P35"/>
  <sheetViews>
    <sheetView showGridLines="0" topLeftCell="B7" zoomScale="85" zoomScaleNormal="85" workbookViewId="0">
      <selection activeCell="T24" sqref="T24"/>
    </sheetView>
  </sheetViews>
  <sheetFormatPr defaultRowHeight="14.5"/>
  <cols>
    <col min="1" max="2" width="3.6328125" customWidth="1"/>
    <col min="3" max="14" width="12.6328125" customWidth="1"/>
    <col min="15" max="16" width="3.6328125" customWidth="1"/>
  </cols>
  <sheetData>
    <row r="1" spans="1:16">
      <c r="A1" s="40"/>
      <c r="B1" s="41"/>
      <c r="C1" s="41"/>
      <c r="D1" s="41"/>
      <c r="E1" s="41"/>
      <c r="F1" s="41"/>
      <c r="G1" s="41"/>
      <c r="H1" s="41"/>
      <c r="I1" s="41"/>
      <c r="J1" s="41"/>
      <c r="K1" s="41"/>
      <c r="L1" s="41"/>
      <c r="M1" s="41"/>
      <c r="N1" s="41"/>
      <c r="O1" s="41"/>
      <c r="P1" s="42"/>
    </row>
    <row r="2" spans="1:16" ht="14.5" customHeight="1">
      <c r="A2" s="43"/>
      <c r="B2" s="44"/>
      <c r="C2" s="57" t="s">
        <v>0</v>
      </c>
      <c r="D2" s="57"/>
      <c r="E2" s="57"/>
      <c r="F2" s="57"/>
      <c r="G2" s="57"/>
      <c r="H2" s="57"/>
      <c r="I2" s="57"/>
      <c r="J2" s="57"/>
      <c r="K2" s="57"/>
      <c r="L2" s="57"/>
      <c r="M2" s="57"/>
      <c r="N2" s="57"/>
      <c r="O2" s="44"/>
      <c r="P2" s="45"/>
    </row>
    <row r="3" spans="1:16" ht="14.5" customHeight="1">
      <c r="A3" s="43"/>
      <c r="B3" s="44"/>
      <c r="C3" s="57"/>
      <c r="D3" s="57"/>
      <c r="E3" s="57"/>
      <c r="F3" s="57"/>
      <c r="G3" s="57"/>
      <c r="H3" s="57"/>
      <c r="I3" s="57"/>
      <c r="J3" s="57"/>
      <c r="K3" s="57"/>
      <c r="L3" s="57"/>
      <c r="M3" s="57"/>
      <c r="N3" s="57"/>
      <c r="O3" s="44"/>
      <c r="P3" s="45"/>
    </row>
    <row r="4" spans="1:16" ht="14.5" customHeight="1">
      <c r="A4" s="43"/>
      <c r="B4" s="44"/>
      <c r="C4" s="57"/>
      <c r="D4" s="57"/>
      <c r="E4" s="57"/>
      <c r="F4" s="57"/>
      <c r="G4" s="57"/>
      <c r="H4" s="57"/>
      <c r="I4" s="57"/>
      <c r="J4" s="57"/>
      <c r="K4" s="57"/>
      <c r="L4" s="57"/>
      <c r="M4" s="57"/>
      <c r="N4" s="57"/>
      <c r="O4" s="44"/>
      <c r="P4" s="45"/>
    </row>
    <row r="5" spans="1:16">
      <c r="A5" s="43"/>
      <c r="B5" s="44"/>
      <c r="C5" s="58" t="s">
        <v>1</v>
      </c>
      <c r="D5" s="58"/>
      <c r="E5" s="58"/>
      <c r="F5" s="58"/>
      <c r="G5" s="58"/>
      <c r="H5" s="58"/>
      <c r="I5" s="58"/>
      <c r="J5" s="58"/>
      <c r="K5" s="58"/>
      <c r="L5" s="58"/>
      <c r="M5" s="58"/>
      <c r="N5" s="58"/>
      <c r="O5" s="44"/>
      <c r="P5" s="45"/>
    </row>
    <row r="6" spans="1:16">
      <c r="A6" s="43"/>
      <c r="B6" s="44"/>
      <c r="C6" s="44"/>
      <c r="D6" s="44"/>
      <c r="E6" s="44"/>
      <c r="F6" s="44"/>
      <c r="G6" s="44"/>
      <c r="H6" s="44"/>
      <c r="I6" s="44"/>
      <c r="J6" s="44"/>
      <c r="K6" s="44"/>
      <c r="L6" s="44"/>
      <c r="M6" s="44"/>
      <c r="N6" s="44"/>
      <c r="O6" s="44"/>
      <c r="P6" s="45"/>
    </row>
    <row r="7" spans="1:16" ht="23.5">
      <c r="A7" s="43"/>
      <c r="B7" s="44"/>
      <c r="C7" s="59" t="s">
        <v>2</v>
      </c>
      <c r="D7" s="60"/>
      <c r="E7" s="60"/>
      <c r="F7" s="60"/>
      <c r="G7" s="60"/>
      <c r="H7" s="60"/>
      <c r="I7" s="60"/>
      <c r="J7" s="60"/>
      <c r="K7" s="60"/>
      <c r="L7" s="60"/>
      <c r="M7" s="60"/>
      <c r="N7" s="60"/>
      <c r="O7" s="44"/>
      <c r="P7" s="45"/>
    </row>
    <row r="8" spans="1:16">
      <c r="A8" s="43"/>
      <c r="B8" s="44"/>
      <c r="C8" s="44"/>
      <c r="D8" s="44"/>
      <c r="E8" s="44"/>
      <c r="F8" s="44"/>
      <c r="G8" s="44"/>
      <c r="H8" s="44"/>
      <c r="I8" s="44"/>
      <c r="J8" s="44"/>
      <c r="K8" s="44"/>
      <c r="L8" s="44"/>
      <c r="M8" s="44"/>
      <c r="N8" s="44"/>
      <c r="O8" s="44"/>
      <c r="P8" s="45"/>
    </row>
    <row r="9" spans="1:16">
      <c r="A9" s="43"/>
      <c r="B9" s="44"/>
      <c r="C9" s="44"/>
      <c r="D9" s="44"/>
      <c r="E9" s="44"/>
      <c r="F9" s="44"/>
      <c r="G9" s="44"/>
      <c r="H9" s="44"/>
      <c r="I9" s="44"/>
      <c r="J9" s="44"/>
      <c r="K9" s="44"/>
      <c r="L9" s="44"/>
      <c r="M9" s="44"/>
      <c r="N9" s="44"/>
      <c r="O9" s="44"/>
      <c r="P9" s="45"/>
    </row>
    <row r="10" spans="1:16">
      <c r="A10" s="43"/>
      <c r="B10" s="44"/>
      <c r="C10" s="44"/>
      <c r="D10" s="44"/>
      <c r="E10" s="44"/>
      <c r="F10" s="44"/>
      <c r="G10" s="44"/>
      <c r="H10" s="44"/>
      <c r="I10" s="44"/>
      <c r="J10" s="44"/>
      <c r="K10" s="44"/>
      <c r="L10" s="44"/>
      <c r="M10" s="44"/>
      <c r="N10" s="44"/>
      <c r="O10" s="44"/>
      <c r="P10" s="45"/>
    </row>
    <row r="11" spans="1:16">
      <c r="A11" s="43"/>
      <c r="B11" s="44"/>
      <c r="C11" s="44"/>
      <c r="D11" s="44"/>
      <c r="E11" s="44"/>
      <c r="F11" s="44"/>
      <c r="G11" s="44"/>
      <c r="H11" s="44"/>
      <c r="I11" s="44"/>
      <c r="J11" s="44"/>
      <c r="K11" s="44"/>
      <c r="L11" s="44"/>
      <c r="M11" s="44"/>
      <c r="N11" s="44"/>
      <c r="O11" s="44"/>
      <c r="P11" s="45"/>
    </row>
    <row r="12" spans="1:16">
      <c r="A12" s="43"/>
      <c r="B12" s="44"/>
      <c r="C12" s="44"/>
      <c r="D12" s="44"/>
      <c r="E12" s="44"/>
      <c r="F12" s="44"/>
      <c r="G12" s="44"/>
      <c r="H12" s="44"/>
      <c r="I12" s="44"/>
      <c r="J12" s="44"/>
      <c r="K12" s="44"/>
      <c r="L12" s="44"/>
      <c r="M12" s="44"/>
      <c r="N12" s="44"/>
      <c r="O12" s="44"/>
      <c r="P12" s="45"/>
    </row>
    <row r="13" spans="1:16">
      <c r="A13" s="43"/>
      <c r="B13" s="44"/>
      <c r="C13" s="44"/>
      <c r="D13" s="44"/>
      <c r="E13" s="44"/>
      <c r="F13" s="44"/>
      <c r="G13" s="44"/>
      <c r="H13" s="44"/>
      <c r="I13" s="44"/>
      <c r="J13" s="44"/>
      <c r="K13" s="44"/>
      <c r="L13" s="44"/>
      <c r="M13" s="44"/>
      <c r="N13" s="44"/>
      <c r="O13" s="44"/>
      <c r="P13" s="45"/>
    </row>
    <row r="14" spans="1:16">
      <c r="A14" s="43"/>
      <c r="B14" s="44"/>
      <c r="C14" s="44"/>
      <c r="D14" s="44"/>
      <c r="E14" s="44"/>
      <c r="F14" s="44"/>
      <c r="G14" s="44"/>
      <c r="H14" s="44"/>
      <c r="I14" s="44"/>
      <c r="J14" s="44"/>
      <c r="K14" s="44"/>
      <c r="L14" s="44"/>
      <c r="M14" s="44"/>
      <c r="N14" s="44"/>
      <c r="O14" s="44"/>
      <c r="P14" s="45"/>
    </row>
    <row r="15" spans="1:16">
      <c r="A15" s="43"/>
      <c r="B15" s="44"/>
      <c r="C15" s="44"/>
      <c r="D15" s="44"/>
      <c r="E15" s="44"/>
      <c r="F15" s="44"/>
      <c r="G15" s="44"/>
      <c r="H15" s="44"/>
      <c r="I15" s="44"/>
      <c r="J15" s="44"/>
      <c r="K15" s="44"/>
      <c r="L15" s="44"/>
      <c r="M15" s="44"/>
      <c r="N15" s="44"/>
      <c r="O15" s="44"/>
      <c r="P15" s="45"/>
    </row>
    <row r="16" spans="1:16">
      <c r="A16" s="43"/>
      <c r="B16" s="44"/>
      <c r="C16" s="44"/>
      <c r="D16" s="44"/>
      <c r="E16" s="44"/>
      <c r="F16" s="44"/>
      <c r="G16" s="44"/>
      <c r="H16" s="44"/>
      <c r="I16" s="44"/>
      <c r="J16" s="44"/>
      <c r="K16" s="44"/>
      <c r="L16" s="44"/>
      <c r="M16" s="44"/>
      <c r="N16" s="44"/>
      <c r="O16" s="44"/>
      <c r="P16" s="45"/>
    </row>
    <row r="17" spans="1:16">
      <c r="A17" s="43"/>
      <c r="B17" s="44"/>
      <c r="C17" s="44"/>
      <c r="D17" s="44"/>
      <c r="E17" s="44"/>
      <c r="F17" s="44"/>
      <c r="G17" s="44"/>
      <c r="H17" s="44"/>
      <c r="I17" s="44"/>
      <c r="J17" s="44"/>
      <c r="K17" s="44"/>
      <c r="L17" s="44"/>
      <c r="M17" s="44"/>
      <c r="N17" s="44"/>
      <c r="O17" s="44"/>
      <c r="P17" s="45"/>
    </row>
    <row r="18" spans="1:16">
      <c r="A18" s="43"/>
      <c r="B18" s="44"/>
      <c r="C18" s="44"/>
      <c r="D18" s="44"/>
      <c r="E18" s="44"/>
      <c r="F18" s="44"/>
      <c r="G18" s="44"/>
      <c r="H18" s="44"/>
      <c r="I18" s="44"/>
      <c r="J18" s="44"/>
      <c r="K18" s="44"/>
      <c r="L18" s="44"/>
      <c r="M18" s="44"/>
      <c r="N18" s="44"/>
      <c r="O18" s="44"/>
      <c r="P18" s="45"/>
    </row>
    <row r="19" spans="1:16">
      <c r="A19" s="43"/>
      <c r="B19" s="44"/>
      <c r="C19" s="44"/>
      <c r="D19" s="44"/>
      <c r="E19" s="44"/>
      <c r="F19" s="44"/>
      <c r="G19" s="44"/>
      <c r="H19" s="44"/>
      <c r="I19" s="44"/>
      <c r="J19" s="44"/>
      <c r="K19" s="44"/>
      <c r="L19" s="44"/>
      <c r="M19" s="44"/>
      <c r="N19" s="44"/>
      <c r="O19" s="44"/>
      <c r="P19" s="45"/>
    </row>
    <row r="20" spans="1:16">
      <c r="A20" s="43"/>
      <c r="B20" s="44"/>
      <c r="C20" s="44"/>
      <c r="D20" s="44"/>
      <c r="E20" s="44"/>
      <c r="F20" s="44"/>
      <c r="G20" s="44"/>
      <c r="H20" s="44"/>
      <c r="I20" s="44"/>
      <c r="J20" s="44"/>
      <c r="K20" s="44"/>
      <c r="L20" s="44"/>
      <c r="M20" s="44"/>
      <c r="N20" s="44"/>
      <c r="O20" s="44"/>
      <c r="P20" s="45"/>
    </row>
    <row r="21" spans="1:16">
      <c r="A21" s="43"/>
      <c r="B21" s="44"/>
      <c r="C21" s="44"/>
      <c r="D21" s="44"/>
      <c r="E21" s="44"/>
      <c r="F21" s="44"/>
      <c r="G21" s="44"/>
      <c r="H21" s="44"/>
      <c r="I21" s="44"/>
      <c r="J21" s="44"/>
      <c r="K21" s="44"/>
      <c r="L21" s="44"/>
      <c r="M21" s="44"/>
      <c r="N21" s="44"/>
      <c r="O21" s="44"/>
      <c r="P21" s="45"/>
    </row>
    <row r="22" spans="1:16">
      <c r="A22" s="43"/>
      <c r="B22" s="44"/>
      <c r="C22" s="44"/>
      <c r="D22" s="44"/>
      <c r="E22" s="44"/>
      <c r="F22" s="44"/>
      <c r="G22" s="44"/>
      <c r="H22" s="44"/>
      <c r="I22" s="44"/>
      <c r="J22" s="44"/>
      <c r="K22" s="44"/>
      <c r="L22" s="44"/>
      <c r="M22" s="44"/>
      <c r="N22" s="44"/>
      <c r="O22" s="44"/>
      <c r="P22" s="45"/>
    </row>
    <row r="23" spans="1:16">
      <c r="A23" s="43"/>
      <c r="B23" s="44"/>
      <c r="C23" s="44"/>
      <c r="D23" s="44"/>
      <c r="E23" s="44"/>
      <c r="F23" s="44"/>
      <c r="G23" s="44"/>
      <c r="H23" s="44"/>
      <c r="I23" s="44"/>
      <c r="J23" s="44"/>
      <c r="K23" s="44"/>
      <c r="L23" s="44"/>
      <c r="M23" s="44"/>
      <c r="N23" s="44"/>
      <c r="O23" s="44"/>
      <c r="P23" s="45"/>
    </row>
    <row r="24" spans="1:16">
      <c r="A24" s="43"/>
      <c r="B24" s="44"/>
      <c r="C24" s="44"/>
      <c r="D24" s="44"/>
      <c r="E24" s="44"/>
      <c r="F24" s="44"/>
      <c r="G24" s="44"/>
      <c r="H24" s="44"/>
      <c r="I24" s="44"/>
      <c r="J24" s="44"/>
      <c r="K24" s="44"/>
      <c r="L24" s="44"/>
      <c r="M24" s="44"/>
      <c r="N24" s="44"/>
      <c r="O24" s="44"/>
      <c r="P24" s="45"/>
    </row>
    <row r="25" spans="1:16">
      <c r="A25" s="43"/>
      <c r="B25" s="44"/>
      <c r="C25" s="44"/>
      <c r="D25" s="44"/>
      <c r="E25" s="44"/>
      <c r="F25" s="44"/>
      <c r="G25" s="44"/>
      <c r="H25" s="44"/>
      <c r="I25" s="44"/>
      <c r="J25" s="44"/>
      <c r="K25" s="44"/>
      <c r="L25" s="44"/>
      <c r="M25" s="44"/>
      <c r="N25" s="44"/>
      <c r="O25" s="44"/>
      <c r="P25" s="45"/>
    </row>
    <row r="26" spans="1:16">
      <c r="A26" s="43"/>
      <c r="B26" s="44"/>
      <c r="C26" s="44"/>
      <c r="D26" s="44"/>
      <c r="E26" s="44"/>
      <c r="F26" s="44"/>
      <c r="G26" s="44"/>
      <c r="H26" s="44"/>
      <c r="I26" s="44"/>
      <c r="J26" s="44"/>
      <c r="K26" s="44"/>
      <c r="L26" s="44"/>
      <c r="M26" s="44"/>
      <c r="N26" s="44"/>
      <c r="O26" s="44"/>
      <c r="P26" s="45"/>
    </row>
    <row r="27" spans="1:16">
      <c r="A27" s="43"/>
      <c r="B27" s="44"/>
      <c r="C27" s="44"/>
      <c r="D27" s="44"/>
      <c r="E27" s="44"/>
      <c r="F27" s="44"/>
      <c r="G27" s="44"/>
      <c r="H27" s="44"/>
      <c r="I27" s="44"/>
      <c r="J27" s="44"/>
      <c r="K27" s="44"/>
      <c r="L27" s="44"/>
      <c r="M27" s="44"/>
      <c r="N27" s="44"/>
      <c r="O27" s="44"/>
      <c r="P27" s="45"/>
    </row>
    <row r="28" spans="1:16">
      <c r="A28" s="43"/>
      <c r="B28" s="44"/>
      <c r="C28" s="44"/>
      <c r="D28" s="44"/>
      <c r="E28" s="44"/>
      <c r="F28" s="44"/>
      <c r="G28" s="44"/>
      <c r="H28" s="44"/>
      <c r="I28" s="44"/>
      <c r="J28" s="44"/>
      <c r="K28" s="44"/>
      <c r="L28" s="44"/>
      <c r="M28" s="44"/>
      <c r="N28" s="44"/>
      <c r="O28" s="44"/>
      <c r="P28" s="45"/>
    </row>
    <row r="29" spans="1:16">
      <c r="A29" s="43"/>
      <c r="B29" s="44"/>
      <c r="C29" s="44"/>
      <c r="D29" s="44"/>
      <c r="E29" s="44"/>
      <c r="F29" s="44"/>
      <c r="G29" s="44"/>
      <c r="H29" s="44"/>
      <c r="I29" s="44"/>
      <c r="J29" s="44"/>
      <c r="K29" s="44"/>
      <c r="L29" s="44"/>
      <c r="M29" s="44"/>
      <c r="N29" s="44"/>
      <c r="O29" s="44"/>
      <c r="P29" s="45"/>
    </row>
    <row r="30" spans="1:16">
      <c r="A30" s="43"/>
      <c r="B30" s="44"/>
      <c r="C30" s="44"/>
      <c r="D30" s="44"/>
      <c r="E30" s="44"/>
      <c r="F30" s="44"/>
      <c r="G30" s="44"/>
      <c r="H30" s="44"/>
      <c r="I30" s="44"/>
      <c r="J30" s="44"/>
      <c r="K30" s="44"/>
      <c r="L30" s="44"/>
      <c r="M30" s="44"/>
      <c r="N30" s="44"/>
      <c r="O30" s="44"/>
      <c r="P30" s="45"/>
    </row>
    <row r="31" spans="1:16">
      <c r="A31" s="43"/>
      <c r="B31" s="44"/>
      <c r="C31" s="44"/>
      <c r="D31" s="44"/>
      <c r="E31" s="44"/>
      <c r="F31" s="44"/>
      <c r="G31" s="44"/>
      <c r="H31" s="44"/>
      <c r="I31" s="44"/>
      <c r="J31" s="44"/>
      <c r="K31" s="44"/>
      <c r="L31" s="44"/>
      <c r="M31" s="44"/>
      <c r="N31" s="44"/>
      <c r="O31" s="44"/>
      <c r="P31" s="45"/>
    </row>
    <row r="32" spans="1:16">
      <c r="A32" s="43"/>
      <c r="B32" s="44"/>
      <c r="C32" s="44"/>
      <c r="D32" s="44"/>
      <c r="E32" s="44"/>
      <c r="F32" s="44"/>
      <c r="G32" s="44"/>
      <c r="H32" s="44"/>
      <c r="I32" s="44"/>
      <c r="J32" s="44"/>
      <c r="K32" s="44"/>
      <c r="L32" s="44"/>
      <c r="M32" s="44"/>
      <c r="N32" s="44"/>
      <c r="O32" s="44"/>
      <c r="P32" s="45"/>
    </row>
    <row r="33" spans="1:16">
      <c r="A33" s="43"/>
      <c r="B33" s="44"/>
      <c r="C33" s="44"/>
      <c r="D33" s="44"/>
      <c r="E33" s="44"/>
      <c r="F33" s="44"/>
      <c r="G33" s="44"/>
      <c r="H33" s="44"/>
      <c r="I33" s="44"/>
      <c r="J33" s="44"/>
      <c r="K33" s="44"/>
      <c r="L33" s="44"/>
      <c r="M33" s="44"/>
      <c r="N33" s="44"/>
      <c r="O33" s="44"/>
      <c r="P33" s="45"/>
    </row>
    <row r="34" spans="1:16">
      <c r="A34" s="43"/>
      <c r="B34" s="44"/>
      <c r="C34" s="44"/>
      <c r="D34" s="44"/>
      <c r="E34" s="44"/>
      <c r="F34" s="44"/>
      <c r="G34" s="44"/>
      <c r="H34" s="44"/>
      <c r="I34" s="44"/>
      <c r="J34" s="44"/>
      <c r="K34" s="44"/>
      <c r="L34" s="44"/>
      <c r="M34" s="44"/>
      <c r="N34" s="44"/>
      <c r="O34" s="44"/>
      <c r="P34" s="45"/>
    </row>
    <row r="35" spans="1:16" ht="15" thickBot="1">
      <c r="A35" s="46"/>
      <c r="B35" s="47"/>
      <c r="C35" s="47"/>
      <c r="D35" s="47"/>
      <c r="E35" s="47"/>
      <c r="F35" s="47"/>
      <c r="G35" s="47"/>
      <c r="H35" s="47"/>
      <c r="I35" s="47"/>
      <c r="J35" s="47"/>
      <c r="K35" s="47"/>
      <c r="L35" s="47"/>
      <c r="M35" s="47"/>
      <c r="N35" s="47"/>
      <c r="O35" s="47"/>
      <c r="P35" s="48"/>
    </row>
  </sheetData>
  <mergeCells count="3">
    <mergeCell ref="C2:N4"/>
    <mergeCell ref="C5:N5"/>
    <mergeCell ref="C7:N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F2FE3-BD47-4475-BD20-0249A8A3A765}">
  <sheetPr codeName="Sheet14"/>
  <dimension ref="B2:K34"/>
  <sheetViews>
    <sheetView showGridLines="0" zoomScale="85" zoomScaleNormal="85" workbookViewId="0">
      <selection activeCell="B30" sqref="B30:H34"/>
    </sheetView>
  </sheetViews>
  <sheetFormatPr defaultRowHeight="14.5"/>
  <cols>
    <col min="1" max="1" width="3.6328125" customWidth="1"/>
    <col min="2" max="2" width="24.6328125" customWidth="1"/>
    <col min="3" max="8" width="16.6328125" customWidth="1"/>
    <col min="9" max="9" width="3.6328125" customWidth="1"/>
  </cols>
  <sheetData>
    <row r="2" spans="2:11">
      <c r="B2" s="49" t="s">
        <v>128</v>
      </c>
      <c r="C2" s="49"/>
      <c r="D2" s="49"/>
      <c r="E2" s="49"/>
      <c r="F2" s="49"/>
      <c r="G2" s="49"/>
      <c r="H2" s="49"/>
    </row>
    <row r="3" spans="2:11">
      <c r="B3" s="49"/>
      <c r="C3" s="49"/>
      <c r="D3" s="49"/>
      <c r="E3" s="49"/>
      <c r="F3" s="49"/>
      <c r="G3" s="49"/>
      <c r="H3" s="49"/>
    </row>
    <row r="4" spans="2:11">
      <c r="B4" s="49"/>
      <c r="C4" s="49"/>
      <c r="D4" s="49"/>
      <c r="E4" s="49"/>
      <c r="F4" s="49"/>
      <c r="G4" s="49"/>
      <c r="H4" s="49"/>
    </row>
    <row r="5" spans="2:11">
      <c r="B5" s="65" t="s">
        <v>129</v>
      </c>
      <c r="C5" s="65"/>
      <c r="D5" s="65"/>
      <c r="E5" s="65"/>
      <c r="F5" s="65"/>
      <c r="G5" s="65"/>
      <c r="H5" s="65"/>
    </row>
    <row r="7" spans="2:11">
      <c r="B7" s="37" t="s">
        <v>130</v>
      </c>
      <c r="C7" s="38"/>
      <c r="D7" s="38"/>
      <c r="E7" s="38"/>
      <c r="F7" s="38"/>
      <c r="G7" s="38"/>
      <c r="H7" s="39"/>
      <c r="K7" s="36"/>
    </row>
    <row r="8" spans="2:11">
      <c r="B8" s="63" t="s">
        <v>131</v>
      </c>
      <c r="C8" s="64"/>
      <c r="D8" s="64"/>
      <c r="E8" s="64"/>
      <c r="F8" s="64"/>
      <c r="G8" s="64"/>
      <c r="H8" s="64"/>
    </row>
    <row r="9" spans="2:11">
      <c r="B9" s="64"/>
      <c r="C9" s="64"/>
      <c r="D9" s="64"/>
      <c r="E9" s="64"/>
      <c r="F9" s="64"/>
      <c r="G9" s="64"/>
      <c r="H9" s="64"/>
    </row>
    <row r="10" spans="2:11">
      <c r="B10" s="64"/>
      <c r="C10" s="64"/>
      <c r="D10" s="64"/>
      <c r="E10" s="64"/>
      <c r="F10" s="64"/>
      <c r="G10" s="64"/>
      <c r="H10" s="64"/>
    </row>
    <row r="11" spans="2:11">
      <c r="B11" s="64"/>
      <c r="C11" s="64"/>
      <c r="D11" s="64"/>
      <c r="E11" s="64"/>
      <c r="F11" s="64"/>
      <c r="G11" s="64"/>
      <c r="H11" s="64"/>
    </row>
    <row r="12" spans="2:11">
      <c r="B12" s="64"/>
      <c r="C12" s="64"/>
      <c r="D12" s="64"/>
      <c r="E12" s="64"/>
      <c r="F12" s="64"/>
      <c r="G12" s="64"/>
      <c r="H12" s="64"/>
    </row>
    <row r="13" spans="2:11">
      <c r="B13" s="64"/>
      <c r="C13" s="64"/>
      <c r="D13" s="64"/>
      <c r="E13" s="64"/>
      <c r="F13" s="64"/>
      <c r="G13" s="64"/>
      <c r="H13" s="64"/>
    </row>
    <row r="14" spans="2:11">
      <c r="B14" s="64"/>
      <c r="C14" s="64"/>
      <c r="D14" s="64"/>
      <c r="E14" s="64"/>
      <c r="F14" s="64"/>
      <c r="G14" s="64"/>
      <c r="H14" s="64"/>
    </row>
    <row r="16" spans="2:11">
      <c r="B16" s="66" t="s">
        <v>132</v>
      </c>
      <c r="C16" s="66"/>
      <c r="D16" s="66"/>
      <c r="E16" s="66"/>
      <c r="F16" s="66"/>
      <c r="G16" s="66"/>
      <c r="H16" s="66"/>
    </row>
    <row r="17" spans="2:8">
      <c r="B17" s="67" t="s">
        <v>133</v>
      </c>
      <c r="C17" s="67"/>
      <c r="D17" s="67" t="s">
        <v>162</v>
      </c>
      <c r="E17" s="67"/>
      <c r="F17" s="67"/>
      <c r="G17" s="67" t="s">
        <v>134</v>
      </c>
      <c r="H17" s="67"/>
    </row>
    <row r="18" spans="2:8">
      <c r="B18" s="61" t="s">
        <v>135</v>
      </c>
      <c r="C18" s="61"/>
      <c r="D18" s="61" t="s">
        <v>144</v>
      </c>
      <c r="E18" s="61"/>
      <c r="F18" s="61"/>
      <c r="G18" s="61" t="s">
        <v>153</v>
      </c>
      <c r="H18" s="61"/>
    </row>
    <row r="19" spans="2:8">
      <c r="B19" s="61" t="s">
        <v>136</v>
      </c>
      <c r="C19" s="61"/>
      <c r="D19" s="61" t="s">
        <v>145</v>
      </c>
      <c r="E19" s="61"/>
      <c r="F19" s="61"/>
      <c r="G19" s="61" t="s">
        <v>154</v>
      </c>
      <c r="H19" s="61"/>
    </row>
    <row r="20" spans="2:8">
      <c r="B20" s="61" t="s">
        <v>137</v>
      </c>
      <c r="C20" s="61"/>
      <c r="D20" s="61" t="s">
        <v>146</v>
      </c>
      <c r="E20" s="61"/>
      <c r="F20" s="61"/>
      <c r="G20" s="61" t="s">
        <v>155</v>
      </c>
      <c r="H20" s="61"/>
    </row>
    <row r="21" spans="2:8">
      <c r="B21" s="61" t="s">
        <v>138</v>
      </c>
      <c r="C21" s="61"/>
      <c r="D21" s="61" t="s">
        <v>147</v>
      </c>
      <c r="E21" s="61"/>
      <c r="F21" s="61"/>
      <c r="G21" s="61" t="s">
        <v>156</v>
      </c>
      <c r="H21" s="61"/>
    </row>
    <row r="22" spans="2:8">
      <c r="B22" s="61" t="s">
        <v>139</v>
      </c>
      <c r="C22" s="61"/>
      <c r="D22" s="61" t="s">
        <v>148</v>
      </c>
      <c r="E22" s="61"/>
      <c r="F22" s="61"/>
      <c r="G22" s="61" t="s">
        <v>157</v>
      </c>
      <c r="H22" s="61"/>
    </row>
    <row r="23" spans="2:8">
      <c r="B23" s="61" t="s">
        <v>140</v>
      </c>
      <c r="C23" s="61"/>
      <c r="D23" s="61" t="s">
        <v>149</v>
      </c>
      <c r="E23" s="61"/>
      <c r="F23" s="61"/>
      <c r="G23" s="61" t="s">
        <v>158</v>
      </c>
      <c r="H23" s="61"/>
    </row>
    <row r="24" spans="2:8">
      <c r="B24" s="61" t="s">
        <v>141</v>
      </c>
      <c r="C24" s="61"/>
      <c r="D24" s="61" t="s">
        <v>150</v>
      </c>
      <c r="E24" s="61"/>
      <c r="F24" s="61"/>
      <c r="G24" s="61" t="s">
        <v>159</v>
      </c>
      <c r="H24" s="61"/>
    </row>
    <row r="25" spans="2:8">
      <c r="B25" s="61" t="s">
        <v>142</v>
      </c>
      <c r="C25" s="61"/>
      <c r="D25" s="61" t="s">
        <v>151</v>
      </c>
      <c r="E25" s="61"/>
      <c r="F25" s="61"/>
      <c r="G25" s="61" t="s">
        <v>160</v>
      </c>
      <c r="H25" s="61"/>
    </row>
    <row r="26" spans="2:8">
      <c r="B26" s="61" t="s">
        <v>143</v>
      </c>
      <c r="C26" s="61"/>
      <c r="D26" s="61" t="s">
        <v>152</v>
      </c>
      <c r="E26" s="61"/>
      <c r="F26" s="61"/>
      <c r="G26" s="61" t="s">
        <v>161</v>
      </c>
      <c r="H26" s="61"/>
    </row>
    <row r="29" spans="2:8">
      <c r="B29" s="62" t="s">
        <v>163</v>
      </c>
      <c r="C29" s="62"/>
      <c r="D29" s="62"/>
      <c r="E29" s="62"/>
      <c r="F29" s="62"/>
      <c r="G29" s="62"/>
      <c r="H29" s="62"/>
    </row>
    <row r="30" spans="2:8">
      <c r="B30" s="63" t="s">
        <v>164</v>
      </c>
      <c r="C30" s="64"/>
      <c r="D30" s="64"/>
      <c r="E30" s="64"/>
      <c r="F30" s="64"/>
      <c r="G30" s="64"/>
      <c r="H30" s="64"/>
    </row>
    <row r="31" spans="2:8">
      <c r="B31" s="64"/>
      <c r="C31" s="64"/>
      <c r="D31" s="64"/>
      <c r="E31" s="64"/>
      <c r="F31" s="64"/>
      <c r="G31" s="64"/>
      <c r="H31" s="64"/>
    </row>
    <row r="32" spans="2:8">
      <c r="B32" s="64"/>
      <c r="C32" s="64"/>
      <c r="D32" s="64"/>
      <c r="E32" s="64"/>
      <c r="F32" s="64"/>
      <c r="G32" s="64"/>
      <c r="H32" s="64"/>
    </row>
    <row r="33" spans="2:8">
      <c r="B33" s="64"/>
      <c r="C33" s="64"/>
      <c r="D33" s="64"/>
      <c r="E33" s="64"/>
      <c r="F33" s="64"/>
      <c r="G33" s="64"/>
      <c r="H33" s="64"/>
    </row>
    <row r="34" spans="2:8">
      <c r="B34" s="64"/>
      <c r="C34" s="64"/>
      <c r="D34" s="64"/>
      <c r="E34" s="64"/>
      <c r="F34" s="64"/>
      <c r="G34" s="64"/>
      <c r="H34" s="64"/>
    </row>
  </sheetData>
  <mergeCells count="36">
    <mergeCell ref="B2:H4"/>
    <mergeCell ref="B5:H5"/>
    <mergeCell ref="B8:H14"/>
    <mergeCell ref="B16:H16"/>
    <mergeCell ref="D17:F17"/>
    <mergeCell ref="B17:C17"/>
    <mergeCell ref="G17:H17"/>
    <mergeCell ref="B18:C18"/>
    <mergeCell ref="B19:C19"/>
    <mergeCell ref="B20:C20"/>
    <mergeCell ref="B21:C21"/>
    <mergeCell ref="B22:C22"/>
    <mergeCell ref="D18:F18"/>
    <mergeCell ref="D19:F19"/>
    <mergeCell ref="D20:F20"/>
    <mergeCell ref="D21:F21"/>
    <mergeCell ref="D22:F22"/>
    <mergeCell ref="G23:H23"/>
    <mergeCell ref="G24:H24"/>
    <mergeCell ref="G25:H25"/>
    <mergeCell ref="B24:C24"/>
    <mergeCell ref="B25:C25"/>
    <mergeCell ref="D23:F23"/>
    <mergeCell ref="D24:F24"/>
    <mergeCell ref="B23:C23"/>
    <mergeCell ref="G18:H18"/>
    <mergeCell ref="G19:H19"/>
    <mergeCell ref="G20:H20"/>
    <mergeCell ref="G21:H21"/>
    <mergeCell ref="G22:H22"/>
    <mergeCell ref="G26:H26"/>
    <mergeCell ref="B29:H29"/>
    <mergeCell ref="B30:H34"/>
    <mergeCell ref="D25:F25"/>
    <mergeCell ref="D26:F26"/>
    <mergeCell ref="B26:C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6803F-6E96-4816-97E4-0C0306A156A2}">
  <sheetPr codeName="Sheet2"/>
  <dimension ref="A1:L7"/>
  <sheetViews>
    <sheetView zoomScale="85" zoomScaleNormal="85" workbookViewId="0">
      <selection activeCell="N6" sqref="N6"/>
    </sheetView>
  </sheetViews>
  <sheetFormatPr defaultRowHeight="14.5"/>
  <cols>
    <col min="1" max="12" width="15.6328125" customWidth="1"/>
  </cols>
  <sheetData>
    <row r="1" spans="1:12">
      <c r="A1" s="9" t="s">
        <v>20</v>
      </c>
      <c r="B1" s="9" t="s">
        <v>21</v>
      </c>
      <c r="C1" s="9" t="s">
        <v>22</v>
      </c>
      <c r="D1" s="9" t="s">
        <v>23</v>
      </c>
      <c r="E1" s="9" t="s">
        <v>24</v>
      </c>
      <c r="F1" s="9" t="s">
        <v>25</v>
      </c>
      <c r="G1" s="9" t="s">
        <v>26</v>
      </c>
      <c r="H1" s="9" t="s">
        <v>27</v>
      </c>
      <c r="I1" s="9" t="s">
        <v>28</v>
      </c>
      <c r="J1" s="9" t="s">
        <v>29</v>
      </c>
      <c r="K1" s="9" t="s">
        <v>30</v>
      </c>
      <c r="L1" s="9" t="s">
        <v>31</v>
      </c>
    </row>
    <row r="2" spans="1:12">
      <c r="A2" t="s">
        <v>46</v>
      </c>
      <c r="B2" t="s">
        <v>47</v>
      </c>
      <c r="C2" t="s">
        <v>32</v>
      </c>
      <c r="D2" t="s">
        <v>40</v>
      </c>
      <c r="E2">
        <v>800</v>
      </c>
      <c r="F2">
        <v>1200</v>
      </c>
      <c r="G2">
        <v>50</v>
      </c>
      <c r="H2">
        <v>9</v>
      </c>
      <c r="I2">
        <v>10</v>
      </c>
      <c r="J2" t="s">
        <v>48</v>
      </c>
      <c r="K2" t="s">
        <v>45</v>
      </c>
      <c r="L2" s="10">
        <v>46248.834513888891</v>
      </c>
    </row>
    <row r="3" spans="1:12">
      <c r="A3" t="s">
        <v>174</v>
      </c>
      <c r="B3" t="s">
        <v>175</v>
      </c>
      <c r="C3" t="s">
        <v>32</v>
      </c>
      <c r="D3" t="s">
        <v>40</v>
      </c>
      <c r="E3">
        <v>550</v>
      </c>
      <c r="F3">
        <v>850</v>
      </c>
      <c r="G3">
        <v>0</v>
      </c>
      <c r="H3">
        <v>12</v>
      </c>
      <c r="I3">
        <v>10</v>
      </c>
      <c r="J3" t="s">
        <v>176</v>
      </c>
      <c r="K3" t="s">
        <v>45</v>
      </c>
      <c r="L3" s="10">
        <v>46249.82068287037</v>
      </c>
    </row>
    <row r="4" spans="1:12">
      <c r="A4" t="s">
        <v>177</v>
      </c>
      <c r="B4" t="s">
        <v>178</v>
      </c>
      <c r="C4" t="s">
        <v>32</v>
      </c>
      <c r="D4" t="s">
        <v>170</v>
      </c>
      <c r="E4">
        <v>1100</v>
      </c>
      <c r="F4">
        <v>1550</v>
      </c>
      <c r="G4">
        <v>0</v>
      </c>
      <c r="H4">
        <v>4</v>
      </c>
      <c r="I4">
        <v>5</v>
      </c>
      <c r="J4" t="s">
        <v>179</v>
      </c>
      <c r="K4" t="s">
        <v>45</v>
      </c>
      <c r="L4" s="10">
        <v>46249.821400462963</v>
      </c>
    </row>
    <row r="5" spans="1:12">
      <c r="A5" t="s">
        <v>180</v>
      </c>
      <c r="B5" t="s">
        <v>181</v>
      </c>
      <c r="C5" t="s">
        <v>33</v>
      </c>
      <c r="D5" t="s">
        <v>165</v>
      </c>
      <c r="E5">
        <v>220</v>
      </c>
      <c r="F5">
        <v>320</v>
      </c>
      <c r="G5">
        <v>0</v>
      </c>
      <c r="H5">
        <v>75</v>
      </c>
      <c r="I5">
        <v>20</v>
      </c>
      <c r="J5" t="s">
        <v>182</v>
      </c>
      <c r="K5" t="s">
        <v>45</v>
      </c>
      <c r="L5" s="10">
        <v>46249.822002314817</v>
      </c>
    </row>
    <row r="6" spans="1:12">
      <c r="A6" t="s">
        <v>183</v>
      </c>
      <c r="B6" t="s">
        <v>184</v>
      </c>
      <c r="C6" t="s">
        <v>33</v>
      </c>
      <c r="D6" t="s">
        <v>165</v>
      </c>
      <c r="E6">
        <v>300</v>
      </c>
      <c r="F6">
        <v>450</v>
      </c>
      <c r="G6">
        <v>0</v>
      </c>
      <c r="H6">
        <v>7</v>
      </c>
      <c r="I6">
        <v>8</v>
      </c>
      <c r="J6" t="s">
        <v>185</v>
      </c>
      <c r="K6" t="s">
        <v>45</v>
      </c>
      <c r="L6" s="10">
        <v>46249.822592592594</v>
      </c>
    </row>
    <row r="7" spans="1:12">
      <c r="A7" t="s">
        <v>240</v>
      </c>
      <c r="B7" t="s">
        <v>241</v>
      </c>
      <c r="C7" t="s">
        <v>34</v>
      </c>
      <c r="D7" t="s">
        <v>170</v>
      </c>
      <c r="E7">
        <v>100000</v>
      </c>
      <c r="F7">
        <v>120000</v>
      </c>
      <c r="G7">
        <v>5</v>
      </c>
      <c r="H7">
        <v>5</v>
      </c>
      <c r="I7">
        <v>1</v>
      </c>
      <c r="J7" t="s">
        <v>242</v>
      </c>
      <c r="K7" t="s">
        <v>45</v>
      </c>
      <c r="L7" s="10">
        <v>46251.852418981478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EB9D-5C02-4486-9CA3-995BEF19EFD6}">
  <sheetPr codeName="Sheet3"/>
  <dimension ref="A1:J6"/>
  <sheetViews>
    <sheetView workbookViewId="0">
      <selection activeCell="L10" sqref="L10"/>
    </sheetView>
  </sheetViews>
  <sheetFormatPr defaultRowHeight="14.5"/>
  <cols>
    <col min="1" max="1" width="13.81640625" customWidth="1"/>
    <col min="2" max="2" width="16.90625" customWidth="1"/>
    <col min="3" max="3" width="8.1796875" customWidth="1"/>
    <col min="4" max="4" width="7.36328125" customWidth="1"/>
    <col min="5" max="5" width="10.7265625" customWidth="1"/>
    <col min="6" max="6" width="9.54296875" customWidth="1"/>
    <col min="7" max="7" width="6" customWidth="1"/>
    <col min="8" max="8" width="16" customWidth="1"/>
    <col min="9" max="9" width="8.08984375" customWidth="1"/>
    <col min="10" max="10" width="14.453125" customWidth="1"/>
  </cols>
  <sheetData>
    <row r="1" spans="1:10">
      <c r="A1" t="s">
        <v>49</v>
      </c>
      <c r="B1" t="s">
        <v>50</v>
      </c>
      <c r="C1" t="s">
        <v>6</v>
      </c>
      <c r="D1" t="s">
        <v>7</v>
      </c>
      <c r="E1" t="s">
        <v>51</v>
      </c>
      <c r="F1" t="s">
        <v>39</v>
      </c>
      <c r="G1" t="s">
        <v>52</v>
      </c>
      <c r="H1" t="s">
        <v>53</v>
      </c>
      <c r="I1" t="s">
        <v>30</v>
      </c>
      <c r="J1" t="s">
        <v>31</v>
      </c>
    </row>
    <row r="2" spans="1:10">
      <c r="A2" t="s">
        <v>54</v>
      </c>
      <c r="B2" t="s">
        <v>55</v>
      </c>
      <c r="C2">
        <v>9876543210</v>
      </c>
      <c r="D2" t="s">
        <v>56</v>
      </c>
      <c r="E2" t="s">
        <v>55</v>
      </c>
      <c r="F2" t="s">
        <v>57</v>
      </c>
      <c r="G2" t="s">
        <v>44</v>
      </c>
      <c r="H2" t="s">
        <v>58</v>
      </c>
      <c r="I2" t="s">
        <v>45</v>
      </c>
      <c r="J2" s="10">
        <v>46248.861608796295</v>
      </c>
    </row>
    <row r="3" spans="1:10">
      <c r="A3" t="s">
        <v>195</v>
      </c>
      <c r="B3" t="s">
        <v>196</v>
      </c>
      <c r="C3">
        <v>9876501011</v>
      </c>
      <c r="D3" t="s">
        <v>197</v>
      </c>
      <c r="E3" t="s">
        <v>198</v>
      </c>
      <c r="F3" t="s">
        <v>199</v>
      </c>
      <c r="G3" t="s">
        <v>44</v>
      </c>
      <c r="H3" t="s">
        <v>58</v>
      </c>
      <c r="I3" t="s">
        <v>45</v>
      </c>
      <c r="J3" s="10">
        <v>46249.829375000001</v>
      </c>
    </row>
    <row r="4" spans="1:10">
      <c r="A4" t="s">
        <v>200</v>
      </c>
      <c r="B4" t="s">
        <v>201</v>
      </c>
      <c r="C4">
        <v>9876501022</v>
      </c>
      <c r="D4" t="s">
        <v>202</v>
      </c>
      <c r="E4" t="s">
        <v>203</v>
      </c>
      <c r="F4" t="s">
        <v>204</v>
      </c>
      <c r="G4" t="s">
        <v>44</v>
      </c>
      <c r="H4" t="s">
        <v>58</v>
      </c>
      <c r="I4" t="s">
        <v>45</v>
      </c>
      <c r="J4" s="10">
        <v>46249.829976851855</v>
      </c>
    </row>
    <row r="5" spans="1:10">
      <c r="A5" t="s">
        <v>219</v>
      </c>
      <c r="B5" t="s">
        <v>220</v>
      </c>
      <c r="C5">
        <v>8885110131</v>
      </c>
      <c r="D5" t="s">
        <v>221</v>
      </c>
      <c r="E5" t="s">
        <v>222</v>
      </c>
      <c r="F5" t="s">
        <v>223</v>
      </c>
      <c r="G5" t="s">
        <v>44</v>
      </c>
      <c r="H5" t="s">
        <v>224</v>
      </c>
      <c r="I5" t="s">
        <v>45</v>
      </c>
      <c r="J5" s="10">
        <v>46251.832476851851</v>
      </c>
    </row>
    <row r="6" spans="1:10">
      <c r="A6" t="s">
        <v>246</v>
      </c>
      <c r="B6" t="s">
        <v>247</v>
      </c>
      <c r="C6">
        <v>9876554321</v>
      </c>
      <c r="D6" t="s">
        <v>221</v>
      </c>
      <c r="E6" t="s">
        <v>248</v>
      </c>
      <c r="F6" t="s">
        <v>249</v>
      </c>
      <c r="G6" t="s">
        <v>250</v>
      </c>
      <c r="H6" t="s">
        <v>224</v>
      </c>
      <c r="I6" t="s">
        <v>45</v>
      </c>
      <c r="J6" s="10">
        <v>46251.854409722226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C1FF6-F4B7-4640-B5EC-E0918C453053}">
  <sheetPr codeName="Sheet4"/>
  <dimension ref="A1:I5"/>
  <sheetViews>
    <sheetView workbookViewId="0">
      <selection activeCell="K9" sqref="K9"/>
    </sheetView>
  </sheetViews>
  <sheetFormatPr defaultRowHeight="14.5"/>
  <cols>
    <col min="1" max="1" width="12.453125" customWidth="1"/>
    <col min="2" max="2" width="15.54296875" customWidth="1"/>
    <col min="3" max="3" width="16.1796875" customWidth="1"/>
    <col min="4" max="4" width="8.1796875" customWidth="1"/>
    <col min="5" max="5" width="7.36328125" customWidth="1"/>
    <col min="6" max="6" width="10.26953125" customWidth="1"/>
    <col min="7" max="7" width="9.54296875" customWidth="1"/>
    <col min="8" max="8" width="8.08984375" customWidth="1"/>
    <col min="9" max="9" width="14.453125" customWidth="1"/>
  </cols>
  <sheetData>
    <row r="1" spans="1:9" ht="20" customHeight="1">
      <c r="A1" t="s">
        <v>23</v>
      </c>
      <c r="B1" t="s">
        <v>37</v>
      </c>
      <c r="C1" t="s">
        <v>38</v>
      </c>
      <c r="D1" t="s">
        <v>6</v>
      </c>
      <c r="E1" t="s">
        <v>7</v>
      </c>
      <c r="F1" t="s">
        <v>22</v>
      </c>
      <c r="G1" t="s">
        <v>39</v>
      </c>
      <c r="H1" t="s">
        <v>30</v>
      </c>
      <c r="I1" t="s">
        <v>31</v>
      </c>
    </row>
    <row r="2" spans="1:9">
      <c r="A2" t="s">
        <v>40</v>
      </c>
      <c r="B2" t="s">
        <v>41</v>
      </c>
      <c r="C2" t="s">
        <v>42</v>
      </c>
      <c r="D2">
        <v>9876543210</v>
      </c>
      <c r="E2" t="s">
        <v>43</v>
      </c>
      <c r="F2" t="s">
        <v>32</v>
      </c>
      <c r="G2" t="s">
        <v>44</v>
      </c>
      <c r="H2" t="s">
        <v>45</v>
      </c>
      <c r="I2" s="10">
        <v>46248.826574074075</v>
      </c>
    </row>
    <row r="3" spans="1:9">
      <c r="A3" t="s">
        <v>165</v>
      </c>
      <c r="B3" t="s">
        <v>166</v>
      </c>
      <c r="C3" t="s">
        <v>167</v>
      </c>
      <c r="D3">
        <v>9876500021</v>
      </c>
      <c r="E3" t="s">
        <v>168</v>
      </c>
      <c r="F3" t="s">
        <v>33</v>
      </c>
      <c r="G3" t="s">
        <v>169</v>
      </c>
      <c r="H3" t="s">
        <v>45</v>
      </c>
      <c r="I3" s="10">
        <v>46249.818229166667</v>
      </c>
    </row>
    <row r="4" spans="1:9">
      <c r="A4" t="s">
        <v>170</v>
      </c>
      <c r="B4" t="s">
        <v>171</v>
      </c>
      <c r="C4" t="s">
        <v>172</v>
      </c>
      <c r="D4">
        <v>9876500032</v>
      </c>
      <c r="E4" t="s">
        <v>173</v>
      </c>
      <c r="F4" t="s">
        <v>32</v>
      </c>
      <c r="G4" t="s">
        <v>106</v>
      </c>
      <c r="H4" t="s">
        <v>45</v>
      </c>
      <c r="I4" s="10">
        <v>46249.818842592591</v>
      </c>
    </row>
    <row r="5" spans="1:9">
      <c r="A5" t="s">
        <v>212</v>
      </c>
      <c r="B5" t="s">
        <v>213</v>
      </c>
      <c r="C5" t="s">
        <v>214</v>
      </c>
      <c r="D5">
        <v>987654321</v>
      </c>
      <c r="E5" t="s">
        <v>215</v>
      </c>
      <c r="F5" t="s">
        <v>35</v>
      </c>
      <c r="G5" t="s">
        <v>216</v>
      </c>
      <c r="H5" t="s">
        <v>45</v>
      </c>
      <c r="I5" s="10">
        <v>46251.831377314818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38628-A7E5-41E0-A392-52E3EF72BDFD}">
  <sheetPr codeName="Sheet5"/>
  <dimension ref="A1:N24"/>
  <sheetViews>
    <sheetView zoomScale="70" zoomScaleNormal="70" workbookViewId="0">
      <selection activeCell="R10" sqref="R10"/>
    </sheetView>
  </sheetViews>
  <sheetFormatPr defaultRowHeight="14.5"/>
  <cols>
    <col min="1" max="1" width="9" customWidth="1"/>
    <col min="2" max="2" width="12.08984375" customWidth="1"/>
    <col min="3" max="3" width="11.1796875" customWidth="1"/>
    <col min="4" max="4" width="13.81640625" customWidth="1"/>
    <col min="5" max="5" width="16.90625" customWidth="1"/>
    <col min="6" max="6" width="12.26953125" customWidth="1"/>
    <col min="7" max="7" width="15.36328125" customWidth="1"/>
    <col min="8" max="8" width="10.1796875" customWidth="1"/>
    <col min="9" max="9" width="11.453125" customWidth="1"/>
    <col min="10" max="10" width="10.1796875" customWidth="1"/>
    <col min="12" max="12" width="11.453125" customWidth="1"/>
    <col min="13" max="13" width="12.54296875" customWidth="1"/>
    <col min="14" max="14" width="14.54296875" customWidth="1"/>
  </cols>
  <sheetData>
    <row r="1" spans="1:14">
      <c r="A1" t="s">
        <v>59</v>
      </c>
      <c r="B1" t="s">
        <v>60</v>
      </c>
      <c r="C1" t="s">
        <v>61</v>
      </c>
      <c r="D1" t="s">
        <v>49</v>
      </c>
      <c r="E1" t="s">
        <v>50</v>
      </c>
      <c r="F1" t="s">
        <v>20</v>
      </c>
      <c r="G1" t="s">
        <v>21</v>
      </c>
      <c r="H1" t="s">
        <v>62</v>
      </c>
      <c r="I1" t="s">
        <v>63</v>
      </c>
      <c r="J1" t="s">
        <v>64</v>
      </c>
      <c r="K1" t="s">
        <v>65</v>
      </c>
      <c r="L1" t="s">
        <v>66</v>
      </c>
      <c r="M1" t="s">
        <v>67</v>
      </c>
      <c r="N1" t="s">
        <v>68</v>
      </c>
    </row>
    <row r="2" spans="1:14">
      <c r="A2" t="s">
        <v>104</v>
      </c>
      <c r="B2" t="s">
        <v>105</v>
      </c>
      <c r="C2" s="11">
        <v>46249</v>
      </c>
      <c r="D2" t="s">
        <v>54</v>
      </c>
      <c r="E2" t="s">
        <v>55</v>
      </c>
      <c r="F2" t="s">
        <v>46</v>
      </c>
      <c r="G2" t="s">
        <v>47</v>
      </c>
      <c r="H2">
        <v>1</v>
      </c>
      <c r="I2">
        <v>1200</v>
      </c>
      <c r="J2">
        <v>100</v>
      </c>
      <c r="K2">
        <v>198</v>
      </c>
      <c r="L2">
        <v>1298</v>
      </c>
      <c r="M2" t="s">
        <v>69</v>
      </c>
      <c r="N2" s="10">
        <v>46249.723587962966</v>
      </c>
    </row>
    <row r="3" spans="1:14">
      <c r="A3" t="s">
        <v>205</v>
      </c>
      <c r="B3" t="s">
        <v>206</v>
      </c>
      <c r="C3" s="11">
        <v>46249</v>
      </c>
      <c r="D3" t="s">
        <v>195</v>
      </c>
      <c r="E3" t="s">
        <v>196</v>
      </c>
      <c r="F3" t="s">
        <v>174</v>
      </c>
      <c r="G3" t="s">
        <v>175</v>
      </c>
      <c r="H3">
        <v>6</v>
      </c>
      <c r="I3">
        <v>850</v>
      </c>
      <c r="J3">
        <v>100</v>
      </c>
      <c r="K3">
        <v>900</v>
      </c>
      <c r="L3">
        <v>5900</v>
      </c>
      <c r="M3" t="s">
        <v>69</v>
      </c>
      <c r="N3" s="10">
        <v>46249.832592592589</v>
      </c>
    </row>
    <row r="4" spans="1:14">
      <c r="A4" t="s">
        <v>205</v>
      </c>
      <c r="B4" t="s">
        <v>206</v>
      </c>
      <c r="C4" s="11">
        <v>46249</v>
      </c>
      <c r="D4" t="s">
        <v>195</v>
      </c>
      <c r="E4" t="s">
        <v>196</v>
      </c>
      <c r="F4" t="s">
        <v>180</v>
      </c>
      <c r="G4" t="s">
        <v>181</v>
      </c>
      <c r="H4">
        <v>15</v>
      </c>
      <c r="I4">
        <v>320</v>
      </c>
      <c r="J4">
        <v>50</v>
      </c>
      <c r="K4">
        <v>855</v>
      </c>
      <c r="L4">
        <v>5605</v>
      </c>
      <c r="M4" t="s">
        <v>69</v>
      </c>
      <c r="N4" s="10">
        <v>46249.832592592589</v>
      </c>
    </row>
    <row r="5" spans="1:14">
      <c r="A5" t="s">
        <v>207</v>
      </c>
      <c r="B5" t="s">
        <v>208</v>
      </c>
      <c r="C5" s="11">
        <v>46249</v>
      </c>
      <c r="D5" t="s">
        <v>200</v>
      </c>
      <c r="E5" t="s">
        <v>201</v>
      </c>
      <c r="F5" t="s">
        <v>177</v>
      </c>
      <c r="G5" t="s">
        <v>178</v>
      </c>
      <c r="H5">
        <v>6</v>
      </c>
      <c r="I5">
        <v>1550</v>
      </c>
      <c r="J5">
        <v>200</v>
      </c>
      <c r="K5">
        <v>1638</v>
      </c>
      <c r="L5">
        <v>10738</v>
      </c>
      <c r="M5" t="s">
        <v>69</v>
      </c>
      <c r="N5" s="10">
        <v>46249.833518518521</v>
      </c>
    </row>
    <row r="6" spans="1:14">
      <c r="A6" t="s">
        <v>207</v>
      </c>
      <c r="B6" t="s">
        <v>208</v>
      </c>
      <c r="C6" s="11">
        <v>46249</v>
      </c>
      <c r="D6" t="s">
        <v>200</v>
      </c>
      <c r="E6" t="s">
        <v>201</v>
      </c>
      <c r="F6" t="s">
        <v>183</v>
      </c>
      <c r="G6" t="s">
        <v>184</v>
      </c>
      <c r="H6">
        <v>8</v>
      </c>
      <c r="I6">
        <v>450</v>
      </c>
      <c r="J6">
        <v>75</v>
      </c>
      <c r="K6">
        <v>634.5</v>
      </c>
      <c r="L6">
        <v>4159.5</v>
      </c>
      <c r="M6" t="s">
        <v>69</v>
      </c>
      <c r="N6" s="10">
        <v>46249.833518518521</v>
      </c>
    </row>
    <row r="7" spans="1:14">
      <c r="A7" t="s">
        <v>209</v>
      </c>
      <c r="B7" t="s">
        <v>210</v>
      </c>
      <c r="C7" s="11">
        <v>46249</v>
      </c>
      <c r="D7" t="s">
        <v>54</v>
      </c>
      <c r="E7" t="s">
        <v>55</v>
      </c>
      <c r="F7" t="s">
        <v>174</v>
      </c>
      <c r="G7" t="s">
        <v>175</v>
      </c>
      <c r="H7">
        <v>7</v>
      </c>
      <c r="I7">
        <v>850</v>
      </c>
      <c r="J7">
        <v>0</v>
      </c>
      <c r="K7">
        <v>1071</v>
      </c>
      <c r="L7">
        <v>7021</v>
      </c>
      <c r="M7" t="s">
        <v>69</v>
      </c>
      <c r="N7" s="10">
        <v>46249.835011574076</v>
      </c>
    </row>
    <row r="8" spans="1:14">
      <c r="A8" t="s">
        <v>209</v>
      </c>
      <c r="B8" t="s">
        <v>210</v>
      </c>
      <c r="C8" s="11">
        <v>46249</v>
      </c>
      <c r="D8" t="s">
        <v>54</v>
      </c>
      <c r="E8" t="s">
        <v>55</v>
      </c>
      <c r="F8" t="s">
        <v>183</v>
      </c>
      <c r="G8" t="s">
        <v>184</v>
      </c>
      <c r="H8">
        <v>5</v>
      </c>
      <c r="I8">
        <v>450</v>
      </c>
      <c r="J8">
        <v>0</v>
      </c>
      <c r="K8">
        <v>405</v>
      </c>
      <c r="L8">
        <v>2655</v>
      </c>
      <c r="M8" t="s">
        <v>69</v>
      </c>
      <c r="N8" s="10">
        <v>46249.835011574076</v>
      </c>
    </row>
    <row r="9" spans="1:14">
      <c r="A9" t="s">
        <v>209</v>
      </c>
      <c r="B9" t="s">
        <v>210</v>
      </c>
      <c r="C9" s="11">
        <v>46249</v>
      </c>
      <c r="D9" t="s">
        <v>54</v>
      </c>
      <c r="E9" t="s">
        <v>55</v>
      </c>
      <c r="F9" t="s">
        <v>177</v>
      </c>
      <c r="G9" t="s">
        <v>178</v>
      </c>
      <c r="H9">
        <v>5</v>
      </c>
      <c r="I9">
        <v>1550</v>
      </c>
      <c r="J9">
        <v>100</v>
      </c>
      <c r="K9">
        <v>1377</v>
      </c>
      <c r="L9">
        <v>9027</v>
      </c>
      <c r="M9" t="s">
        <v>69</v>
      </c>
      <c r="N9" s="10">
        <v>46249.835011574076</v>
      </c>
    </row>
    <row r="10" spans="1:14">
      <c r="A10" t="s">
        <v>225</v>
      </c>
      <c r="B10" t="s">
        <v>226</v>
      </c>
      <c r="C10" s="11">
        <v>46251</v>
      </c>
      <c r="D10" t="s">
        <v>219</v>
      </c>
      <c r="E10" t="s">
        <v>220</v>
      </c>
      <c r="F10" t="s">
        <v>180</v>
      </c>
      <c r="G10" t="s">
        <v>181</v>
      </c>
      <c r="H10">
        <v>10</v>
      </c>
      <c r="I10">
        <v>320</v>
      </c>
      <c r="J10">
        <v>100</v>
      </c>
      <c r="K10">
        <v>558</v>
      </c>
      <c r="L10">
        <v>3658</v>
      </c>
      <c r="M10" t="s">
        <v>69</v>
      </c>
      <c r="N10" s="10">
        <v>46251.833067129628</v>
      </c>
    </row>
    <row r="11" spans="1:14">
      <c r="A11" t="s">
        <v>225</v>
      </c>
      <c r="B11" t="s">
        <v>226</v>
      </c>
      <c r="C11" s="11">
        <v>46251</v>
      </c>
      <c r="D11" t="s">
        <v>219</v>
      </c>
      <c r="E11" t="s">
        <v>220</v>
      </c>
      <c r="F11" t="s">
        <v>46</v>
      </c>
      <c r="G11" t="s">
        <v>47</v>
      </c>
      <c r="H11">
        <v>50</v>
      </c>
      <c r="I11">
        <v>1200</v>
      </c>
      <c r="J11">
        <v>100</v>
      </c>
      <c r="K11">
        <v>10782</v>
      </c>
      <c r="L11">
        <v>70682</v>
      </c>
      <c r="M11" t="s">
        <v>69</v>
      </c>
      <c r="N11" s="10">
        <v>46251.833067129628</v>
      </c>
    </row>
    <row r="12" spans="1:14">
      <c r="A12" t="s">
        <v>258</v>
      </c>
      <c r="B12" t="s">
        <v>259</v>
      </c>
      <c r="C12" s="11">
        <v>46251</v>
      </c>
      <c r="D12" t="s">
        <v>246</v>
      </c>
      <c r="E12" t="s">
        <v>247</v>
      </c>
      <c r="F12" t="s">
        <v>240</v>
      </c>
      <c r="G12" t="s">
        <v>241</v>
      </c>
      <c r="H12">
        <v>1</v>
      </c>
      <c r="I12">
        <v>120000</v>
      </c>
      <c r="J12">
        <v>100</v>
      </c>
      <c r="K12">
        <v>21582</v>
      </c>
      <c r="L12">
        <v>141482</v>
      </c>
      <c r="M12" t="s">
        <v>69</v>
      </c>
      <c r="N12" s="10">
        <v>46251.861018518517</v>
      </c>
    </row>
    <row r="24" spans="3:14">
      <c r="C24" s="11"/>
      <c r="N24" s="10"/>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396DB-DC35-4C4B-843F-A3481E789BD2}">
  <sheetPr codeName="Sheet6"/>
  <dimension ref="A1:M8"/>
  <sheetViews>
    <sheetView zoomScale="80" workbookViewId="0"/>
  </sheetViews>
  <sheetFormatPr defaultRowHeight="14.5"/>
  <cols>
    <col min="1" max="1" width="13.54296875" customWidth="1"/>
    <col min="2" max="2" width="14.1796875" customWidth="1"/>
    <col min="3" max="3" width="15.7265625" customWidth="1"/>
    <col min="4" max="4" width="12.7265625" customWidth="1"/>
    <col min="5" max="5" width="16" customWidth="1"/>
    <col min="6" max="6" width="12.54296875" customWidth="1"/>
    <col min="7" max="7" width="15.81640625" customWidth="1"/>
    <col min="8" max="8" width="10.36328125" customWidth="1"/>
    <col min="9" max="9" width="11.26953125" customWidth="1"/>
    <col min="10" max="10" width="11.7265625" customWidth="1"/>
    <col min="11" max="11" width="16.90625" customWidth="1"/>
    <col min="12" max="12" width="12.81640625" customWidth="1"/>
    <col min="13" max="13" width="14.81640625" customWidth="1"/>
    <col min="16" max="16" width="10.36328125" bestFit="1" customWidth="1"/>
  </cols>
  <sheetData>
    <row r="1" spans="1:13" ht="25" customHeight="1">
      <c r="A1" t="s">
        <v>70</v>
      </c>
      <c r="B1" t="s">
        <v>71</v>
      </c>
      <c r="C1" t="s">
        <v>72</v>
      </c>
      <c r="D1" t="s">
        <v>23</v>
      </c>
      <c r="E1" t="s">
        <v>37</v>
      </c>
      <c r="F1" t="s">
        <v>20</v>
      </c>
      <c r="G1" t="s">
        <v>21</v>
      </c>
      <c r="H1" t="s">
        <v>62</v>
      </c>
      <c r="I1" t="s">
        <v>73</v>
      </c>
      <c r="J1" t="s">
        <v>66</v>
      </c>
      <c r="K1" t="s">
        <v>74</v>
      </c>
      <c r="L1" t="s">
        <v>67</v>
      </c>
      <c r="M1" t="s">
        <v>68</v>
      </c>
    </row>
    <row r="2" spans="1:13">
      <c r="A2" t="s">
        <v>75</v>
      </c>
      <c r="B2" t="s">
        <v>76</v>
      </c>
      <c r="C2" s="11">
        <v>46248</v>
      </c>
      <c r="D2" t="s">
        <v>40</v>
      </c>
      <c r="E2" t="s">
        <v>41</v>
      </c>
      <c r="F2" t="s">
        <v>46</v>
      </c>
      <c r="G2" t="s">
        <v>47</v>
      </c>
      <c r="H2">
        <v>10</v>
      </c>
      <c r="I2">
        <v>800</v>
      </c>
      <c r="J2">
        <v>8000</v>
      </c>
      <c r="K2" t="s">
        <v>77</v>
      </c>
      <c r="L2" t="s">
        <v>69</v>
      </c>
      <c r="M2" s="10">
        <v>46248.986261574071</v>
      </c>
    </row>
    <row r="3" spans="1:13">
      <c r="A3" t="s">
        <v>186</v>
      </c>
      <c r="B3" t="s">
        <v>187</v>
      </c>
      <c r="C3" s="11">
        <v>46249</v>
      </c>
      <c r="D3" t="s">
        <v>40</v>
      </c>
      <c r="E3" t="s">
        <v>41</v>
      </c>
      <c r="F3" t="s">
        <v>174</v>
      </c>
      <c r="G3" t="s">
        <v>175</v>
      </c>
      <c r="H3">
        <v>25</v>
      </c>
      <c r="I3">
        <v>550</v>
      </c>
      <c r="J3">
        <v>13750</v>
      </c>
      <c r="K3" t="s">
        <v>188</v>
      </c>
      <c r="L3" t="s">
        <v>69</v>
      </c>
      <c r="M3" s="10">
        <v>46249.825335648151</v>
      </c>
    </row>
    <row r="4" spans="1:13">
      <c r="A4" t="s">
        <v>189</v>
      </c>
      <c r="B4" t="s">
        <v>190</v>
      </c>
      <c r="C4" s="11">
        <v>46249</v>
      </c>
      <c r="D4" t="s">
        <v>170</v>
      </c>
      <c r="E4" t="s">
        <v>171</v>
      </c>
      <c r="F4" t="s">
        <v>177</v>
      </c>
      <c r="G4" t="s">
        <v>178</v>
      </c>
      <c r="H4">
        <v>15</v>
      </c>
      <c r="I4">
        <v>1100</v>
      </c>
      <c r="J4">
        <v>16500</v>
      </c>
      <c r="K4" t="s">
        <v>77</v>
      </c>
      <c r="L4" t="s">
        <v>69</v>
      </c>
      <c r="M4" s="10">
        <v>46249.825706018521</v>
      </c>
    </row>
    <row r="5" spans="1:13">
      <c r="A5" t="s">
        <v>191</v>
      </c>
      <c r="B5" t="s">
        <v>192</v>
      </c>
      <c r="C5" s="11">
        <v>46249</v>
      </c>
      <c r="D5" t="s">
        <v>165</v>
      </c>
      <c r="E5" t="s">
        <v>166</v>
      </c>
      <c r="F5" t="s">
        <v>180</v>
      </c>
      <c r="G5" t="s">
        <v>181</v>
      </c>
      <c r="H5">
        <v>50</v>
      </c>
      <c r="I5">
        <v>220</v>
      </c>
      <c r="J5">
        <v>11000</v>
      </c>
      <c r="K5" t="s">
        <v>77</v>
      </c>
      <c r="L5" t="s">
        <v>69</v>
      </c>
      <c r="M5" s="10">
        <v>46249.825983796298</v>
      </c>
    </row>
    <row r="6" spans="1:13">
      <c r="A6" t="s">
        <v>193</v>
      </c>
      <c r="B6" t="s">
        <v>194</v>
      </c>
      <c r="C6" s="11">
        <v>46249</v>
      </c>
      <c r="D6" t="s">
        <v>165</v>
      </c>
      <c r="E6" t="s">
        <v>166</v>
      </c>
      <c r="F6" t="s">
        <v>183</v>
      </c>
      <c r="G6" t="s">
        <v>184</v>
      </c>
      <c r="H6">
        <v>20</v>
      </c>
      <c r="I6">
        <v>300</v>
      </c>
      <c r="J6">
        <v>6000</v>
      </c>
      <c r="K6" t="s">
        <v>188</v>
      </c>
      <c r="L6" t="s">
        <v>69</v>
      </c>
      <c r="M6" s="10">
        <v>46249.82640046296</v>
      </c>
    </row>
    <row r="7" spans="1:13">
      <c r="A7" t="s">
        <v>217</v>
      </c>
      <c r="B7" t="s">
        <v>218</v>
      </c>
      <c r="C7" s="11">
        <v>46251</v>
      </c>
      <c r="D7" t="s">
        <v>212</v>
      </c>
      <c r="E7" t="s">
        <v>213</v>
      </c>
      <c r="F7" t="s">
        <v>180</v>
      </c>
      <c r="G7" t="s">
        <v>181</v>
      </c>
      <c r="H7">
        <v>50</v>
      </c>
      <c r="I7">
        <v>220</v>
      </c>
      <c r="J7">
        <v>11000</v>
      </c>
      <c r="K7" t="s">
        <v>77</v>
      </c>
      <c r="L7" t="s">
        <v>69</v>
      </c>
      <c r="M7" s="10">
        <v>46251.831770833334</v>
      </c>
    </row>
    <row r="8" spans="1:13">
      <c r="A8" t="s">
        <v>253</v>
      </c>
      <c r="B8" t="s">
        <v>254</v>
      </c>
      <c r="C8" s="11">
        <v>46251</v>
      </c>
      <c r="D8" t="s">
        <v>212</v>
      </c>
      <c r="E8" t="s">
        <v>213</v>
      </c>
      <c r="F8" t="s">
        <v>240</v>
      </c>
      <c r="G8" t="s">
        <v>241</v>
      </c>
      <c r="H8">
        <v>1</v>
      </c>
      <c r="I8">
        <v>100000</v>
      </c>
      <c r="J8">
        <v>100000</v>
      </c>
      <c r="K8" t="s">
        <v>77</v>
      </c>
      <c r="L8" t="s">
        <v>69</v>
      </c>
      <c r="M8" s="10">
        <v>46251.858113425929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6769C-2E4A-48EE-AA38-22C7A8398BD0}">
  <sheetPr codeName="Sheet7"/>
  <dimension ref="A1:P7"/>
  <sheetViews>
    <sheetView zoomScale="85" zoomScaleNormal="85" workbookViewId="0">
      <selection activeCell="K8" sqref="K8"/>
    </sheetView>
  </sheetViews>
  <sheetFormatPr defaultRowHeight="14.5"/>
  <cols>
    <col min="1" max="1" width="12.26953125" customWidth="1"/>
    <col min="2" max="2" width="15.36328125" customWidth="1"/>
    <col min="3" max="3" width="10.26953125" customWidth="1"/>
    <col min="4" max="4" width="12.453125" customWidth="1"/>
    <col min="5" max="5" width="14.81640625" customWidth="1"/>
    <col min="6" max="6" width="14.7265625" customWidth="1"/>
    <col min="7" max="7" width="13.6328125" customWidth="1"/>
    <col min="8" max="8" width="15.54296875" customWidth="1"/>
    <col min="9" max="9" width="13.1796875" customWidth="1"/>
    <col min="10" max="10" width="13.08984375" customWidth="1"/>
    <col min="12" max="12" width="13.6328125" bestFit="1" customWidth="1"/>
    <col min="13" max="13" width="1.6328125" customWidth="1"/>
    <col min="14" max="14" width="18.81640625" bestFit="1" customWidth="1"/>
    <col min="15" max="15" width="1.36328125" customWidth="1"/>
    <col min="16" max="16" width="14.36328125" bestFit="1" customWidth="1"/>
  </cols>
  <sheetData>
    <row r="1" spans="1:16">
      <c r="A1" t="s">
        <v>20</v>
      </c>
      <c r="B1" t="s">
        <v>21</v>
      </c>
      <c r="C1" t="s">
        <v>22</v>
      </c>
      <c r="D1" t="s">
        <v>23</v>
      </c>
      <c r="E1" t="s">
        <v>27</v>
      </c>
      <c r="F1" t="s">
        <v>28</v>
      </c>
      <c r="G1" t="s">
        <v>78</v>
      </c>
      <c r="H1" t="s">
        <v>24</v>
      </c>
      <c r="I1" t="s">
        <v>25</v>
      </c>
      <c r="J1" t="s">
        <v>79</v>
      </c>
    </row>
    <row r="2" spans="1:16">
      <c r="A2" t="s">
        <v>46</v>
      </c>
      <c r="B2" t="s">
        <v>47</v>
      </c>
      <c r="C2" t="s">
        <v>32</v>
      </c>
      <c r="D2" t="s">
        <v>40</v>
      </c>
      <c r="E2">
        <v>9</v>
      </c>
      <c r="F2">
        <v>10</v>
      </c>
      <c r="G2" t="s">
        <v>211</v>
      </c>
      <c r="H2">
        <v>800</v>
      </c>
      <c r="I2">
        <v>1200</v>
      </c>
      <c r="J2">
        <v>7200</v>
      </c>
      <c r="L2" s="13" t="s">
        <v>81</v>
      </c>
      <c r="M2" s="12"/>
      <c r="N2" s="15" t="s">
        <v>82</v>
      </c>
      <c r="P2" s="15" t="s">
        <v>83</v>
      </c>
    </row>
    <row r="3" spans="1:16" ht="26">
      <c r="A3" t="s">
        <v>174</v>
      </c>
      <c r="B3" t="s">
        <v>175</v>
      </c>
      <c r="C3" t="s">
        <v>32</v>
      </c>
      <c r="D3" t="s">
        <v>40</v>
      </c>
      <c r="E3">
        <v>12</v>
      </c>
      <c r="F3">
        <v>10</v>
      </c>
      <c r="G3" t="s">
        <v>80</v>
      </c>
      <c r="H3">
        <v>550</v>
      </c>
      <c r="I3">
        <v>850</v>
      </c>
      <c r="J3">
        <v>6600</v>
      </c>
      <c r="L3" s="14">
        <f>COUNTA(tblInventory[Product_ID])</f>
        <v>5</v>
      </c>
      <c r="M3" s="12"/>
      <c r="N3" s="16">
        <f>SUM(tblInventory[Stock_Value])</f>
        <v>36800</v>
      </c>
      <c r="P3" s="14">
        <f>COUNTIF(tblInventory[Stock_Status],"Low Stock")</f>
        <v>3</v>
      </c>
    </row>
    <row r="4" spans="1:16">
      <c r="A4" t="s">
        <v>177</v>
      </c>
      <c r="B4" t="s">
        <v>178</v>
      </c>
      <c r="C4" t="s">
        <v>32</v>
      </c>
      <c r="D4" t="s">
        <v>170</v>
      </c>
      <c r="E4">
        <v>4</v>
      </c>
      <c r="F4">
        <v>5</v>
      </c>
      <c r="G4" t="s">
        <v>211</v>
      </c>
      <c r="H4">
        <v>1100</v>
      </c>
      <c r="I4">
        <v>1550</v>
      </c>
      <c r="J4">
        <v>4400</v>
      </c>
    </row>
    <row r="5" spans="1:16">
      <c r="A5" t="s">
        <v>180</v>
      </c>
      <c r="B5" t="s">
        <v>181</v>
      </c>
      <c r="C5" t="s">
        <v>33</v>
      </c>
      <c r="D5" t="s">
        <v>165</v>
      </c>
      <c r="E5">
        <v>75</v>
      </c>
      <c r="F5">
        <v>20</v>
      </c>
      <c r="G5" t="s">
        <v>80</v>
      </c>
      <c r="H5">
        <v>220</v>
      </c>
      <c r="I5">
        <v>320</v>
      </c>
      <c r="J5">
        <v>16500</v>
      </c>
    </row>
    <row r="6" spans="1:16">
      <c r="A6" t="s">
        <v>183</v>
      </c>
      <c r="B6" t="s">
        <v>184</v>
      </c>
      <c r="C6" t="s">
        <v>33</v>
      </c>
      <c r="D6" t="s">
        <v>165</v>
      </c>
      <c r="E6">
        <v>7</v>
      </c>
      <c r="F6">
        <v>8</v>
      </c>
      <c r="G6" t="s">
        <v>211</v>
      </c>
      <c r="H6">
        <v>300</v>
      </c>
      <c r="I6">
        <v>450</v>
      </c>
      <c r="J6">
        <v>2100</v>
      </c>
      <c r="N6" s="15" t="s">
        <v>84</v>
      </c>
    </row>
    <row r="7" spans="1:16" ht="26">
      <c r="L7" s="17"/>
      <c r="N7" s="18">
        <f>COUNTIF(tblInventory[Stock_Status],"Out of Stock")</f>
        <v>0</v>
      </c>
    </row>
  </sheetData>
  <conditionalFormatting sqref="G2:G20">
    <cfRule type="containsText" dxfId="2" priority="1" operator="containsText" text="Out of Stock">
      <formula>NOT(ISERROR(SEARCH("Out of Stock",G2)))</formula>
    </cfRule>
    <cfRule type="containsText" dxfId="1" priority="2" operator="containsText" text="Low Stock">
      <formula>NOT(ISERROR(SEARCH("Low Stock",G2)))</formula>
    </cfRule>
    <cfRule type="containsText" dxfId="0" priority="3" operator="containsText" text="In Stock">
      <formula>NOT(ISERROR(SEARCH("In Stock",G2)))</formula>
    </cfRule>
  </conditionalFormatting>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C9FB9-58F3-4C93-AE20-7FB4C8D3AADE}">
  <sheetPr codeName="Sheet8">
    <pageSetUpPr fitToPage="1"/>
  </sheetPr>
  <dimension ref="B2:G41"/>
  <sheetViews>
    <sheetView showGridLines="0" zoomScale="70" zoomScaleNormal="70" workbookViewId="0">
      <selection activeCell="B2" sqref="B2:G3"/>
    </sheetView>
  </sheetViews>
  <sheetFormatPr defaultRowHeight="14.5"/>
  <cols>
    <col min="1" max="1" width="3.6328125" customWidth="1"/>
    <col min="2" max="2" width="28.453125" bestFit="1" customWidth="1"/>
    <col min="3" max="3" width="22.6328125" customWidth="1"/>
    <col min="4" max="4" width="12.6328125" customWidth="1"/>
    <col min="5" max="6" width="14.6328125" customWidth="1"/>
    <col min="7" max="7" width="16.6328125" customWidth="1"/>
    <col min="8" max="8" width="3.6328125" customWidth="1"/>
  </cols>
  <sheetData>
    <row r="2" spans="2:7">
      <c r="B2" s="78" t="s">
        <v>0</v>
      </c>
      <c r="C2" s="78"/>
      <c r="D2" s="78"/>
      <c r="E2" s="78"/>
      <c r="F2" s="78"/>
      <c r="G2" s="78"/>
    </row>
    <row r="3" spans="2:7">
      <c r="B3" s="78"/>
      <c r="C3" s="78"/>
      <c r="D3" s="78"/>
      <c r="E3" s="78"/>
      <c r="F3" s="78"/>
      <c r="G3" s="78"/>
    </row>
    <row r="4" spans="2:7" ht="17">
      <c r="B4" s="79" t="s">
        <v>85</v>
      </c>
      <c r="C4" s="79"/>
      <c r="D4" s="79"/>
      <c r="E4" s="79"/>
      <c r="F4" s="79"/>
      <c r="G4" s="79"/>
    </row>
    <row r="6" spans="2:7" ht="18.5">
      <c r="B6" s="80" t="str">
        <f>SETTINGS!B3</f>
        <v>SmartBiz Demo Pvt Ltd</v>
      </c>
      <c r="C6" s="80"/>
      <c r="D6" s="80"/>
      <c r="E6" s="19" t="s">
        <v>86</v>
      </c>
      <c r="F6" s="73" t="s">
        <v>259</v>
      </c>
      <c r="G6" s="73"/>
    </row>
    <row r="7" spans="2:7">
      <c r="B7" s="72" t="str">
        <f>SETTINGS!B4</f>
        <v>Hyderabad, India</v>
      </c>
      <c r="C7" s="72"/>
      <c r="D7" s="72"/>
      <c r="E7" s="19" t="s">
        <v>87</v>
      </c>
      <c r="F7" s="74">
        <v>46251</v>
      </c>
      <c r="G7" s="75"/>
    </row>
    <row r="8" spans="2:7">
      <c r="B8" s="72" t="str">
        <f>"Phone: "&amp;SETTINGS!B5</f>
        <v>Phone: +91 9876543210</v>
      </c>
      <c r="C8" s="72"/>
      <c r="D8" s="72"/>
    </row>
    <row r="9" spans="2:7">
      <c r="B9" s="72" t="str">
        <f>"Email: "&amp;SETTINGS!B6</f>
        <v>Email: info@smartbizdemo.com</v>
      </c>
      <c r="C9" s="72"/>
      <c r="D9" s="72"/>
    </row>
    <row r="10" spans="2:7">
      <c r="B10" s="72" t="str">
        <f>"GST/Tax No: "&amp;SETTINGS!B7</f>
        <v>GST/Tax No: 36ABCDE1234F1Z5</v>
      </c>
      <c r="C10" s="72"/>
      <c r="D10" s="72"/>
    </row>
    <row r="12" spans="2:7">
      <c r="B12" s="65" t="s">
        <v>88</v>
      </c>
      <c r="C12" s="65"/>
      <c r="D12" s="65"/>
    </row>
    <row r="13" spans="2:7">
      <c r="B13" s="20" t="s">
        <v>89</v>
      </c>
      <c r="C13" s="76" t="s">
        <v>247</v>
      </c>
      <c r="D13" s="77"/>
    </row>
    <row r="14" spans="2:7">
      <c r="B14" s="21" t="s">
        <v>51</v>
      </c>
      <c r="C14" s="68" t="s">
        <v>248</v>
      </c>
      <c r="D14" s="69"/>
    </row>
    <row r="15" spans="2:7">
      <c r="B15" s="21" t="s">
        <v>6</v>
      </c>
      <c r="C15" s="68">
        <v>9876554321</v>
      </c>
      <c r="D15" s="69"/>
    </row>
    <row r="16" spans="2:7">
      <c r="B16" s="21" t="s">
        <v>7</v>
      </c>
      <c r="C16" s="68" t="s">
        <v>221</v>
      </c>
      <c r="D16" s="69"/>
    </row>
    <row r="17" spans="2:7">
      <c r="B17" s="22" t="s">
        <v>39</v>
      </c>
      <c r="C17" s="70" t="s">
        <v>263</v>
      </c>
      <c r="D17" s="71"/>
    </row>
    <row r="19" spans="2:7">
      <c r="B19" s="23" t="s">
        <v>90</v>
      </c>
      <c r="C19" s="23" t="s">
        <v>91</v>
      </c>
      <c r="D19" s="23" t="s">
        <v>92</v>
      </c>
      <c r="E19" s="23" t="s">
        <v>64</v>
      </c>
      <c r="F19" s="23" t="s">
        <v>65</v>
      </c>
      <c r="G19" s="23" t="s">
        <v>93</v>
      </c>
    </row>
    <row r="20" spans="2:7">
      <c r="B20" s="25" t="s">
        <v>241</v>
      </c>
      <c r="C20" s="100">
        <v>1</v>
      </c>
      <c r="D20" s="101">
        <v>120000</v>
      </c>
      <c r="E20" s="101">
        <v>100</v>
      </c>
      <c r="F20" s="101">
        <v>21582</v>
      </c>
      <c r="G20" s="28">
        <v>141482</v>
      </c>
    </row>
    <row r="21" spans="2:7">
      <c r="B21" s="24"/>
      <c r="C21" s="24"/>
      <c r="D21" s="28"/>
      <c r="E21" s="28"/>
      <c r="F21" s="28"/>
      <c r="G21" s="28"/>
    </row>
    <row r="22" spans="2:7">
      <c r="B22" s="24"/>
      <c r="C22" s="24"/>
      <c r="D22" s="28"/>
      <c r="E22" s="28"/>
      <c r="F22" s="28"/>
      <c r="G22" s="28"/>
    </row>
    <row r="23" spans="2:7">
      <c r="B23" s="24"/>
      <c r="C23" s="24"/>
      <c r="D23" s="28"/>
      <c r="E23" s="28"/>
      <c r="F23" s="28"/>
      <c r="G23" s="28"/>
    </row>
    <row r="24" spans="2:7">
      <c r="B24" s="24"/>
      <c r="C24" s="24"/>
      <c r="D24" s="28"/>
      <c r="E24" s="28"/>
      <c r="F24" s="28"/>
      <c r="G24" s="28"/>
    </row>
    <row r="25" spans="2:7">
      <c r="B25" s="24"/>
      <c r="C25" s="24"/>
      <c r="D25" s="28"/>
      <c r="E25" s="28"/>
      <c r="F25" s="28"/>
      <c r="G25" s="28"/>
    </row>
    <row r="26" spans="2:7">
      <c r="B26" s="24"/>
      <c r="C26" s="24"/>
      <c r="D26" s="28"/>
      <c r="E26" s="28"/>
      <c r="F26" s="28"/>
      <c r="G26" s="28"/>
    </row>
    <row r="27" spans="2:7">
      <c r="B27" s="24"/>
      <c r="C27" s="24"/>
      <c r="D27" s="28"/>
      <c r="E27" s="28"/>
      <c r="F27" s="28"/>
      <c r="G27" s="28"/>
    </row>
    <row r="28" spans="2:7">
      <c r="B28" s="24"/>
      <c r="C28" s="24"/>
      <c r="D28" s="28"/>
      <c r="E28" s="28"/>
      <c r="F28" s="28"/>
      <c r="G28" s="28"/>
    </row>
    <row r="29" spans="2:7">
      <c r="B29" s="24"/>
      <c r="C29" s="24"/>
      <c r="D29" s="28"/>
      <c r="E29" s="28"/>
      <c r="F29" s="28"/>
      <c r="G29" s="28"/>
    </row>
    <row r="30" spans="2:7">
      <c r="D30" s="29"/>
      <c r="E30" s="29"/>
      <c r="F30" s="29"/>
      <c r="G30" s="29"/>
    </row>
    <row r="31" spans="2:7">
      <c r="B31" s="26" t="s">
        <v>96</v>
      </c>
      <c r="C31" s="83"/>
      <c r="D31" s="84"/>
      <c r="E31" s="81" t="s">
        <v>94</v>
      </c>
      <c r="F31" s="81"/>
      <c r="G31" s="30">
        <v>120000</v>
      </c>
    </row>
    <row r="32" spans="2:7">
      <c r="B32" s="27" t="s">
        <v>97</v>
      </c>
      <c r="C32" s="83"/>
      <c r="D32" s="84"/>
      <c r="E32" s="81" t="s">
        <v>64</v>
      </c>
      <c r="F32" s="81"/>
      <c r="G32" s="30">
        <v>100</v>
      </c>
    </row>
    <row r="33" spans="2:7">
      <c r="B33" s="87" t="s">
        <v>98</v>
      </c>
      <c r="C33" s="85"/>
      <c r="D33" s="86"/>
      <c r="E33" s="81" t="s">
        <v>65</v>
      </c>
      <c r="F33" s="81"/>
      <c r="G33" s="31">
        <v>21582</v>
      </c>
    </row>
    <row r="34" spans="2:7">
      <c r="B34" s="88"/>
      <c r="C34" s="85"/>
      <c r="D34" s="86"/>
      <c r="E34" s="82" t="s">
        <v>95</v>
      </c>
      <c r="F34" s="82"/>
      <c r="G34" s="32">
        <v>141482</v>
      </c>
    </row>
    <row r="36" spans="2:7" ht="15.5">
      <c r="B36" s="89" t="s">
        <v>99</v>
      </c>
      <c r="C36" s="89"/>
      <c r="D36" s="89"/>
      <c r="E36" s="89"/>
      <c r="F36" s="89"/>
      <c r="G36" s="89"/>
    </row>
    <row r="38" spans="2:7">
      <c r="B38" s="90" t="s">
        <v>100</v>
      </c>
      <c r="C38" s="90"/>
      <c r="D38" s="90"/>
      <c r="F38" s="92" t="s">
        <v>102</v>
      </c>
      <c r="G38" s="92"/>
    </row>
    <row r="39" spans="2:7">
      <c r="B39" s="91" t="s">
        <v>101</v>
      </c>
      <c r="C39" s="91"/>
      <c r="D39" s="91"/>
    </row>
    <row r="40" spans="2:7">
      <c r="B40" s="91"/>
      <c r="C40" s="91"/>
      <c r="D40" s="91"/>
    </row>
    <row r="41" spans="2:7">
      <c r="B41" s="91"/>
      <c r="C41" s="91"/>
      <c r="D41" s="91"/>
      <c r="F41" s="93" t="s">
        <v>103</v>
      </c>
      <c r="G41" s="93"/>
    </row>
  </sheetData>
  <mergeCells count="28">
    <mergeCell ref="B33:B34"/>
    <mergeCell ref="B36:G36"/>
    <mergeCell ref="B38:D38"/>
    <mergeCell ref="B39:D41"/>
    <mergeCell ref="F38:G38"/>
    <mergeCell ref="F41:G41"/>
    <mergeCell ref="E31:F31"/>
    <mergeCell ref="E32:F32"/>
    <mergeCell ref="E33:F33"/>
    <mergeCell ref="E34:F34"/>
    <mergeCell ref="C31:D31"/>
    <mergeCell ref="C32:D32"/>
    <mergeCell ref="C33:D34"/>
    <mergeCell ref="F6:G6"/>
    <mergeCell ref="F7:G7"/>
    <mergeCell ref="B12:D12"/>
    <mergeCell ref="C13:D13"/>
    <mergeCell ref="B2:G3"/>
    <mergeCell ref="B4:G4"/>
    <mergeCell ref="B6:D6"/>
    <mergeCell ref="B7:D7"/>
    <mergeCell ref="B8:D8"/>
    <mergeCell ref="C14:D14"/>
    <mergeCell ref="C15:D15"/>
    <mergeCell ref="C16:D16"/>
    <mergeCell ref="C17:D17"/>
    <mergeCell ref="B9:D9"/>
    <mergeCell ref="B10:D10"/>
  </mergeCells>
  <printOptions horizontalCentered="1"/>
  <pageMargins left="0.25" right="0.2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E5D66-4DF7-433A-9365-18CB4FF078C5}">
  <sheetPr codeName="Sheet9"/>
  <dimension ref="B2:T31"/>
  <sheetViews>
    <sheetView showGridLines="0" topLeftCell="A13" zoomScale="70" zoomScaleNormal="70" workbookViewId="0">
      <selection activeCell="B2" sqref="B2:P4"/>
    </sheetView>
  </sheetViews>
  <sheetFormatPr defaultRowHeight="14.5"/>
  <cols>
    <col min="1" max="1" width="3.6328125" customWidth="1"/>
    <col min="2" max="16" width="11.6328125" customWidth="1"/>
    <col min="17" max="17" width="3.6328125" customWidth="1"/>
  </cols>
  <sheetData>
    <row r="2" spans="2:16">
      <c r="B2" s="49" t="s">
        <v>107</v>
      </c>
      <c r="C2" s="49"/>
      <c r="D2" s="49"/>
      <c r="E2" s="49"/>
      <c r="F2" s="49"/>
      <c r="G2" s="49"/>
      <c r="H2" s="49"/>
      <c r="I2" s="49"/>
      <c r="J2" s="49"/>
      <c r="K2" s="49"/>
      <c r="L2" s="49"/>
      <c r="M2" s="49"/>
      <c r="N2" s="49"/>
      <c r="O2" s="49"/>
      <c r="P2" s="49"/>
    </row>
    <row r="3" spans="2:16">
      <c r="B3" s="49"/>
      <c r="C3" s="49"/>
      <c r="D3" s="49"/>
      <c r="E3" s="49"/>
      <c r="F3" s="49"/>
      <c r="G3" s="49"/>
      <c r="H3" s="49"/>
      <c r="I3" s="49"/>
      <c r="J3" s="49"/>
      <c r="K3" s="49"/>
      <c r="L3" s="49"/>
      <c r="M3" s="49"/>
      <c r="N3" s="49"/>
      <c r="O3" s="49"/>
      <c r="P3" s="49"/>
    </row>
    <row r="4" spans="2:16">
      <c r="B4" s="49"/>
      <c r="C4" s="49"/>
      <c r="D4" s="49"/>
      <c r="E4" s="49"/>
      <c r="F4" s="49"/>
      <c r="G4" s="49"/>
      <c r="H4" s="49"/>
      <c r="I4" s="49"/>
      <c r="J4" s="49"/>
      <c r="K4" s="49"/>
      <c r="L4" s="49"/>
      <c r="M4" s="49"/>
      <c r="N4" s="49"/>
      <c r="O4" s="49"/>
      <c r="P4" s="49"/>
    </row>
    <row r="5" spans="2:16" ht="18.5">
      <c r="B5" s="50" t="s">
        <v>108</v>
      </c>
      <c r="C5" s="50"/>
      <c r="D5" s="50"/>
      <c r="E5" s="50"/>
      <c r="F5" s="50"/>
      <c r="G5" s="50"/>
      <c r="H5" s="50"/>
      <c r="I5" s="50"/>
      <c r="J5" s="50"/>
      <c r="K5" s="50"/>
      <c r="L5" s="50"/>
      <c r="M5" s="50"/>
      <c r="N5" s="50"/>
      <c r="O5" s="50"/>
      <c r="P5" s="50"/>
    </row>
    <row r="7" spans="2:16">
      <c r="B7" s="51" t="s">
        <v>109</v>
      </c>
      <c r="C7" s="51"/>
      <c r="D7" s="51"/>
      <c r="E7" s="51"/>
      <c r="F7" s="51" t="s">
        <v>110</v>
      </c>
      <c r="G7" s="51"/>
      <c r="H7" s="51"/>
      <c r="I7" s="51"/>
      <c r="J7" s="51" t="s">
        <v>111</v>
      </c>
      <c r="K7" s="51"/>
      <c r="L7" s="51"/>
      <c r="M7" s="51"/>
      <c r="N7" s="51" t="s">
        <v>112</v>
      </c>
      <c r="O7" s="51"/>
      <c r="P7" s="51"/>
    </row>
    <row r="8" spans="2:16">
      <c r="B8" s="52">
        <f>SUM(tblSales[Line_Total])</f>
        <v>262225.5</v>
      </c>
      <c r="C8" s="52"/>
      <c r="D8" s="52"/>
      <c r="E8" s="52"/>
      <c r="F8" s="53">
        <f>COUNTIF(tblCustomers[Customer_ID],"&lt;&gt;")</f>
        <v>5</v>
      </c>
      <c r="G8" s="53"/>
      <c r="H8" s="53"/>
      <c r="I8" s="53"/>
      <c r="J8" s="52">
        <f>SUM(tblInventory[Stock_Value])</f>
        <v>36800</v>
      </c>
      <c r="K8" s="52"/>
      <c r="L8" s="52"/>
      <c r="M8" s="52"/>
      <c r="N8" s="53">
        <f>COUNTIF(tblInventory[Stock_Status],"Low Stock")</f>
        <v>3</v>
      </c>
      <c r="O8" s="53"/>
      <c r="P8" s="53"/>
    </row>
    <row r="9" spans="2:16">
      <c r="B9" s="52"/>
      <c r="C9" s="52"/>
      <c r="D9" s="52"/>
      <c r="E9" s="52"/>
      <c r="F9" s="53"/>
      <c r="G9" s="53"/>
      <c r="H9" s="53"/>
      <c r="I9" s="53"/>
      <c r="J9" s="52"/>
      <c r="K9" s="52"/>
      <c r="L9" s="52"/>
      <c r="M9" s="52"/>
      <c r="N9" s="53"/>
      <c r="O9" s="53"/>
      <c r="P9" s="53"/>
    </row>
    <row r="10" spans="2:16">
      <c r="B10" s="52"/>
      <c r="C10" s="52"/>
      <c r="D10" s="52"/>
      <c r="E10" s="52"/>
      <c r="F10" s="53"/>
      <c r="G10" s="53"/>
      <c r="H10" s="53"/>
      <c r="I10" s="53"/>
      <c r="J10" s="52"/>
      <c r="K10" s="52"/>
      <c r="L10" s="52"/>
      <c r="M10" s="52"/>
      <c r="N10" s="53"/>
      <c r="O10" s="53"/>
      <c r="P10" s="53"/>
    </row>
    <row r="11" spans="2:16">
      <c r="N11" s="12"/>
    </row>
    <row r="12" spans="2:16">
      <c r="B12" s="51" t="s">
        <v>113</v>
      </c>
      <c r="C12" s="51"/>
      <c r="D12" s="51"/>
      <c r="E12" s="51"/>
      <c r="F12" s="51" t="s">
        <v>114</v>
      </c>
      <c r="G12" s="51"/>
      <c r="H12" s="51"/>
      <c r="I12" s="51"/>
      <c r="J12" s="51" t="s">
        <v>115</v>
      </c>
      <c r="K12" s="51"/>
      <c r="L12" s="51"/>
      <c r="M12" s="51"/>
      <c r="N12" s="51" t="s">
        <v>116</v>
      </c>
      <c r="O12" s="51"/>
      <c r="P12" s="51"/>
    </row>
    <row r="13" spans="2:16">
      <c r="B13" s="55">
        <f>SUM(tblPurchases[Line_Total])</f>
        <v>166250</v>
      </c>
      <c r="C13" s="55"/>
      <c r="D13" s="55"/>
      <c r="E13" s="55"/>
      <c r="F13" s="54" cm="1">
        <f t="array" ref="F13">IFERROR(ROWS(_xlfn.UNIQUE(_xlfn._xlws.FILTER(tblSales[Invoice_No],tblSales[Invoice_No]&lt;&gt;""))),0)</f>
        <v>6</v>
      </c>
      <c r="G13" s="54"/>
      <c r="H13" s="54"/>
      <c r="I13" s="54"/>
      <c r="J13" s="54">
        <f>COUNTIF(tblInventory[Stock_Status],"Out of Stock")</f>
        <v>0</v>
      </c>
      <c r="K13" s="54"/>
      <c r="L13" s="54"/>
      <c r="M13" s="54"/>
      <c r="N13" s="55">
        <f>SUMIFS(tblPurchases[Line_Total],tblPurchases[Payment_Status],"Paid")</f>
        <v>146500</v>
      </c>
      <c r="O13" s="55"/>
      <c r="P13" s="55"/>
    </row>
    <row r="14" spans="2:16">
      <c r="B14" s="55"/>
      <c r="C14" s="55"/>
      <c r="D14" s="55"/>
      <c r="E14" s="55"/>
      <c r="F14" s="54"/>
      <c r="G14" s="54"/>
      <c r="H14" s="54"/>
      <c r="I14" s="54"/>
      <c r="J14" s="54"/>
      <c r="K14" s="54"/>
      <c r="L14" s="54"/>
      <c r="M14" s="54"/>
      <c r="N14" s="55"/>
      <c r="O14" s="55"/>
      <c r="P14" s="55"/>
    </row>
    <row r="15" spans="2:16">
      <c r="B15" s="55"/>
      <c r="C15" s="55"/>
      <c r="D15" s="55"/>
      <c r="E15" s="55"/>
      <c r="F15" s="54"/>
      <c r="G15" s="54"/>
      <c r="H15" s="54"/>
      <c r="I15" s="54"/>
      <c r="J15" s="54"/>
      <c r="K15" s="54"/>
      <c r="L15" s="54"/>
      <c r="M15" s="54"/>
      <c r="N15" s="55"/>
      <c r="O15" s="55"/>
      <c r="P15" s="55"/>
    </row>
    <row r="16" spans="2:16">
      <c r="J16" s="33"/>
    </row>
    <row r="18" spans="2:20">
      <c r="B18" s="56"/>
      <c r="C18" s="56"/>
      <c r="D18" s="56"/>
      <c r="E18" s="56"/>
      <c r="F18" s="56"/>
      <c r="G18" s="56"/>
      <c r="H18" s="56"/>
      <c r="I18" s="56"/>
      <c r="J18" s="56"/>
      <c r="K18" s="56"/>
      <c r="L18" s="56"/>
      <c r="M18" s="56"/>
      <c r="N18" s="56"/>
      <c r="O18" s="56"/>
      <c r="P18" s="56"/>
    </row>
    <row r="19" spans="2:20">
      <c r="B19" s="56"/>
      <c r="C19" s="56"/>
      <c r="D19" s="56"/>
      <c r="E19" s="56"/>
      <c r="F19" s="56"/>
      <c r="G19" s="56"/>
      <c r="H19" s="56"/>
      <c r="I19" s="56"/>
      <c r="J19" s="56"/>
      <c r="K19" s="56"/>
      <c r="L19" s="56"/>
      <c r="M19" s="56"/>
      <c r="N19" s="56"/>
      <c r="O19" s="56"/>
      <c r="P19" s="56"/>
    </row>
    <row r="20" spans="2:20">
      <c r="B20" s="56"/>
      <c r="C20" s="56"/>
      <c r="D20" s="56"/>
      <c r="E20" s="56"/>
      <c r="F20" s="56"/>
      <c r="G20" s="56"/>
      <c r="H20" s="56"/>
      <c r="I20" s="56"/>
      <c r="J20" s="56"/>
      <c r="K20" s="56"/>
      <c r="L20" s="56"/>
      <c r="M20" s="56"/>
      <c r="N20" s="56"/>
      <c r="O20" s="56"/>
      <c r="P20" s="56"/>
      <c r="T20" s="19"/>
    </row>
    <row r="21" spans="2:20">
      <c r="B21" s="56"/>
      <c r="C21" s="56"/>
      <c r="D21" s="56"/>
      <c r="E21" s="56"/>
      <c r="F21" s="56"/>
      <c r="G21" s="56"/>
      <c r="H21" s="56"/>
      <c r="I21" s="56"/>
      <c r="J21" s="56"/>
      <c r="K21" s="56"/>
      <c r="L21" s="56"/>
      <c r="M21" s="56"/>
      <c r="N21" s="56"/>
      <c r="O21" s="56"/>
      <c r="P21" s="56"/>
    </row>
    <row r="22" spans="2:20">
      <c r="B22" s="56"/>
      <c r="C22" s="56"/>
      <c r="D22" s="56"/>
      <c r="E22" s="56"/>
      <c r="F22" s="56"/>
      <c r="G22" s="56"/>
      <c r="H22" s="56"/>
      <c r="I22" s="56"/>
      <c r="J22" s="56"/>
      <c r="K22" s="56"/>
      <c r="L22" s="56"/>
      <c r="M22" s="56"/>
      <c r="N22" s="56"/>
      <c r="O22" s="56"/>
      <c r="P22" s="56"/>
    </row>
    <row r="23" spans="2:20">
      <c r="B23" s="56"/>
      <c r="C23" s="56"/>
      <c r="D23" s="56"/>
      <c r="E23" s="56"/>
      <c r="F23" s="56"/>
      <c r="G23" s="56"/>
      <c r="H23" s="56"/>
      <c r="I23" s="56"/>
      <c r="J23" s="56"/>
      <c r="K23" s="56"/>
      <c r="L23" s="56"/>
      <c r="M23" s="56"/>
      <c r="N23" s="56"/>
      <c r="O23" s="56"/>
      <c r="P23" s="56"/>
    </row>
    <row r="24" spans="2:20">
      <c r="B24" s="56"/>
      <c r="C24" s="56"/>
      <c r="D24" s="56"/>
      <c r="E24" s="56"/>
      <c r="F24" s="56"/>
      <c r="G24" s="56"/>
      <c r="H24" s="56"/>
      <c r="I24" s="56"/>
      <c r="J24" s="56"/>
      <c r="K24" s="56"/>
      <c r="L24" s="56"/>
      <c r="M24" s="56"/>
      <c r="N24" s="56"/>
      <c r="O24" s="56"/>
      <c r="P24" s="56"/>
    </row>
    <row r="25" spans="2:20">
      <c r="B25" s="56"/>
      <c r="C25" s="56"/>
      <c r="D25" s="56"/>
      <c r="E25" s="56"/>
      <c r="F25" s="56"/>
      <c r="G25" s="56"/>
      <c r="H25" s="56"/>
      <c r="I25" s="56"/>
      <c r="J25" s="56"/>
      <c r="K25" s="56"/>
      <c r="L25" s="56"/>
      <c r="M25" s="56"/>
      <c r="N25" s="56"/>
      <c r="O25" s="56"/>
      <c r="P25" s="56"/>
    </row>
    <row r="26" spans="2:20">
      <c r="B26" s="56"/>
      <c r="C26" s="56"/>
      <c r="D26" s="56"/>
      <c r="E26" s="56"/>
      <c r="F26" s="56"/>
      <c r="G26" s="56"/>
      <c r="H26" s="56"/>
      <c r="I26" s="56"/>
      <c r="J26" s="56"/>
      <c r="K26" s="56"/>
      <c r="L26" s="56"/>
      <c r="M26" s="56"/>
      <c r="N26" s="56"/>
      <c r="O26" s="56"/>
      <c r="P26" s="56"/>
    </row>
    <row r="27" spans="2:20">
      <c r="B27" s="56"/>
      <c r="C27" s="56"/>
      <c r="D27" s="56"/>
      <c r="E27" s="56"/>
      <c r="F27" s="56"/>
      <c r="G27" s="56"/>
      <c r="H27" s="56"/>
      <c r="I27" s="56"/>
      <c r="J27" s="56"/>
      <c r="K27" s="56"/>
      <c r="L27" s="56"/>
      <c r="M27" s="56"/>
      <c r="N27" s="56"/>
      <c r="O27" s="56"/>
      <c r="P27" s="56"/>
    </row>
    <row r="28" spans="2:20">
      <c r="B28" s="56"/>
      <c r="C28" s="56"/>
      <c r="D28" s="56"/>
      <c r="E28" s="56"/>
      <c r="F28" s="56"/>
      <c r="G28" s="56"/>
      <c r="H28" s="56"/>
      <c r="I28" s="56"/>
      <c r="J28" s="56"/>
      <c r="K28" s="56"/>
      <c r="L28" s="56"/>
      <c r="M28" s="56"/>
      <c r="N28" s="56"/>
      <c r="O28" s="56"/>
      <c r="P28" s="56"/>
    </row>
    <row r="29" spans="2:20">
      <c r="B29" s="56"/>
      <c r="C29" s="56"/>
      <c r="D29" s="56"/>
      <c r="E29" s="56"/>
      <c r="F29" s="56"/>
      <c r="G29" s="56"/>
      <c r="H29" s="56"/>
      <c r="I29" s="56"/>
      <c r="J29" s="56"/>
      <c r="K29" s="56"/>
      <c r="L29" s="56"/>
      <c r="M29" s="56"/>
      <c r="N29" s="56"/>
      <c r="O29" s="56"/>
      <c r="P29" s="56"/>
    </row>
    <row r="30" spans="2:20">
      <c r="B30" s="56"/>
      <c r="C30" s="56"/>
      <c r="D30" s="56"/>
      <c r="E30" s="56"/>
      <c r="F30" s="56"/>
      <c r="G30" s="56"/>
      <c r="H30" s="56"/>
      <c r="I30" s="56"/>
      <c r="J30" s="56"/>
      <c r="K30" s="56"/>
      <c r="L30" s="56"/>
      <c r="M30" s="56"/>
      <c r="N30" s="56"/>
      <c r="O30" s="56"/>
      <c r="P30" s="56"/>
    </row>
    <row r="31" spans="2:20">
      <c r="B31" s="56"/>
      <c r="C31" s="56"/>
      <c r="D31" s="56"/>
      <c r="E31" s="56"/>
      <c r="F31" s="56"/>
      <c r="G31" s="56"/>
      <c r="H31" s="56"/>
      <c r="I31" s="56"/>
      <c r="J31" s="56"/>
      <c r="K31" s="56"/>
      <c r="L31" s="56"/>
      <c r="M31" s="56"/>
      <c r="N31" s="56"/>
      <c r="O31" s="56"/>
      <c r="P31" s="56"/>
    </row>
  </sheetData>
  <mergeCells count="20">
    <mergeCell ref="N12:P12"/>
    <mergeCell ref="J13:M15"/>
    <mergeCell ref="N13:P15"/>
    <mergeCell ref="B18:I31"/>
    <mergeCell ref="J18:P31"/>
    <mergeCell ref="B12:E12"/>
    <mergeCell ref="B13:E15"/>
    <mergeCell ref="F12:I12"/>
    <mergeCell ref="F13:I15"/>
    <mergeCell ref="J12:M12"/>
    <mergeCell ref="B2:P4"/>
    <mergeCell ref="B5:P5"/>
    <mergeCell ref="B7:E7"/>
    <mergeCell ref="B8:E10"/>
    <mergeCell ref="F7:I7"/>
    <mergeCell ref="F8:I10"/>
    <mergeCell ref="J7:M7"/>
    <mergeCell ref="J8:M10"/>
    <mergeCell ref="N8:P10"/>
    <mergeCell ref="N7:P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C723-B22C-45BE-9955-6A80C40928BB}">
  <sheetPr codeName="Sheet10"/>
  <dimension ref="B1:X12"/>
  <sheetViews>
    <sheetView showGridLines="0" zoomScale="85" zoomScaleNormal="85" workbookViewId="0">
      <selection activeCell="B2" sqref="B2:P4"/>
    </sheetView>
  </sheetViews>
  <sheetFormatPr defaultRowHeight="14.5"/>
  <cols>
    <col min="1" max="1" width="3.6328125" customWidth="1"/>
    <col min="2" max="16" width="11.6328125" customWidth="1"/>
    <col min="17" max="17" width="3.6328125" customWidth="1"/>
    <col min="18" max="18" width="14.453125" customWidth="1"/>
    <col min="19" max="19" width="16.453125" bestFit="1" customWidth="1"/>
    <col min="20" max="20" width="16" bestFit="1" customWidth="1"/>
    <col min="21" max="21" width="7.6328125" customWidth="1"/>
    <col min="22" max="22" width="12.1796875" customWidth="1"/>
    <col min="23" max="23" width="19.81640625" bestFit="1" customWidth="1"/>
    <col min="24" max="24" width="16" bestFit="1" customWidth="1"/>
  </cols>
  <sheetData>
    <row r="1" spans="2:24">
      <c r="S1" s="34" t="s">
        <v>117</v>
      </c>
      <c r="T1" t="s">
        <v>118</v>
      </c>
      <c r="W1" s="34" t="s">
        <v>117</v>
      </c>
      <c r="X1" t="s">
        <v>118</v>
      </c>
    </row>
    <row r="2" spans="2:24">
      <c r="B2" s="49" t="s">
        <v>126</v>
      </c>
      <c r="C2" s="49"/>
      <c r="D2" s="49"/>
      <c r="E2" s="49"/>
      <c r="F2" s="49"/>
      <c r="G2" s="49"/>
      <c r="H2" s="49"/>
      <c r="I2" s="49"/>
      <c r="J2" s="49"/>
      <c r="K2" s="49"/>
      <c r="L2" s="49"/>
      <c r="M2" s="49"/>
      <c r="N2" s="49"/>
      <c r="O2" s="49"/>
      <c r="P2" s="49"/>
      <c r="S2" s="35" t="s">
        <v>47</v>
      </c>
      <c r="T2" s="99">
        <v>71980</v>
      </c>
      <c r="W2" s="35" t="s">
        <v>41</v>
      </c>
      <c r="X2" s="99">
        <v>21750</v>
      </c>
    </row>
    <row r="3" spans="2:24">
      <c r="B3" s="49"/>
      <c r="C3" s="49"/>
      <c r="D3" s="49"/>
      <c r="E3" s="49"/>
      <c r="F3" s="49"/>
      <c r="G3" s="49"/>
      <c r="H3" s="49"/>
      <c r="I3" s="49"/>
      <c r="J3" s="49"/>
      <c r="K3" s="49"/>
      <c r="L3" s="49"/>
      <c r="M3" s="49"/>
      <c r="N3" s="49"/>
      <c r="O3" s="49"/>
      <c r="P3" s="49"/>
      <c r="S3" s="35" t="s">
        <v>175</v>
      </c>
      <c r="T3" s="99">
        <v>12921</v>
      </c>
      <c r="W3" s="35" t="s">
        <v>171</v>
      </c>
      <c r="X3" s="99">
        <v>16500</v>
      </c>
    </row>
    <row r="4" spans="2:24">
      <c r="B4" s="49"/>
      <c r="C4" s="49"/>
      <c r="D4" s="49"/>
      <c r="E4" s="49"/>
      <c r="F4" s="49"/>
      <c r="G4" s="49"/>
      <c r="H4" s="49"/>
      <c r="I4" s="49"/>
      <c r="J4" s="49"/>
      <c r="K4" s="49"/>
      <c r="L4" s="49"/>
      <c r="M4" s="49"/>
      <c r="N4" s="49"/>
      <c r="O4" s="49"/>
      <c r="P4" s="49"/>
      <c r="S4" s="35" t="s">
        <v>181</v>
      </c>
      <c r="T4" s="99">
        <v>9263</v>
      </c>
      <c r="W4" s="35" t="s">
        <v>166</v>
      </c>
      <c r="X4" s="99">
        <v>17000</v>
      </c>
    </row>
    <row r="5" spans="2:24">
      <c r="B5" s="94" t="s">
        <v>127</v>
      </c>
      <c r="C5" s="94"/>
      <c r="D5" s="94"/>
      <c r="E5" s="94"/>
      <c r="F5" s="94"/>
      <c r="G5" s="94"/>
      <c r="H5" s="94"/>
      <c r="I5" s="94"/>
      <c r="J5" s="94"/>
      <c r="K5" s="94"/>
      <c r="L5" s="94"/>
      <c r="M5" s="94"/>
      <c r="N5" s="94"/>
      <c r="O5" s="94"/>
      <c r="P5" s="94"/>
      <c r="S5" s="35" t="s">
        <v>178</v>
      </c>
      <c r="T5" s="99">
        <v>19765</v>
      </c>
      <c r="W5" s="35" t="s">
        <v>95</v>
      </c>
      <c r="X5" s="99">
        <v>55250</v>
      </c>
    </row>
    <row r="6" spans="2:24">
      <c r="S6" s="35" t="s">
        <v>184</v>
      </c>
      <c r="T6" s="99">
        <v>6814.5</v>
      </c>
    </row>
    <row r="7" spans="2:24">
      <c r="B7" s="95" t="s">
        <v>119</v>
      </c>
      <c r="C7" s="95"/>
      <c r="D7" s="95"/>
      <c r="E7" s="95"/>
      <c r="F7" s="95"/>
      <c r="G7" s="95"/>
      <c r="H7" s="95"/>
      <c r="I7" s="95"/>
      <c r="J7" s="95"/>
      <c r="K7" s="95"/>
      <c r="L7" s="95"/>
      <c r="M7" s="95"/>
      <c r="N7" s="95"/>
      <c r="O7" s="95"/>
      <c r="P7" s="95"/>
      <c r="S7" s="35" t="s">
        <v>95</v>
      </c>
      <c r="T7" s="99">
        <v>120743.5</v>
      </c>
    </row>
    <row r="9" spans="2:24">
      <c r="B9" s="96" t="s">
        <v>120</v>
      </c>
      <c r="C9" s="96"/>
      <c r="D9" s="96"/>
      <c r="E9" s="96"/>
      <c r="F9" s="96"/>
      <c r="G9" s="96" t="s">
        <v>122</v>
      </c>
      <c r="H9" s="96"/>
      <c r="I9" s="96"/>
      <c r="J9" s="96"/>
      <c r="K9" s="96"/>
      <c r="L9" s="96" t="s">
        <v>124</v>
      </c>
      <c r="M9" s="96"/>
      <c r="N9" s="96"/>
      <c r="O9" s="96"/>
      <c r="P9" s="96"/>
    </row>
    <row r="10" spans="2:24">
      <c r="B10" s="97" t="s">
        <v>121</v>
      </c>
      <c r="C10" s="97"/>
      <c r="D10" s="97"/>
      <c r="E10" s="97"/>
      <c r="F10" s="97"/>
      <c r="G10" s="97" t="s">
        <v>123</v>
      </c>
      <c r="H10" s="97"/>
      <c r="I10" s="97"/>
      <c r="J10" s="97"/>
      <c r="K10" s="97"/>
      <c r="L10" s="97" t="s">
        <v>125</v>
      </c>
      <c r="M10" s="97"/>
      <c r="N10" s="97"/>
      <c r="O10" s="97"/>
      <c r="P10" s="97"/>
    </row>
    <row r="11" spans="2:24">
      <c r="B11" s="97"/>
      <c r="C11" s="97"/>
      <c r="D11" s="97"/>
      <c r="E11" s="97"/>
      <c r="F11" s="97"/>
      <c r="G11" s="97"/>
      <c r="H11" s="97"/>
      <c r="I11" s="97"/>
      <c r="J11" s="97"/>
      <c r="K11" s="97"/>
      <c r="L11" s="97"/>
      <c r="M11" s="97"/>
      <c r="N11" s="97"/>
      <c r="O11" s="97"/>
      <c r="P11" s="97"/>
    </row>
    <row r="12" spans="2:24">
      <c r="B12" s="97"/>
      <c r="C12" s="97"/>
      <c r="D12" s="97"/>
      <c r="E12" s="97"/>
      <c r="F12" s="97"/>
      <c r="G12" s="97"/>
      <c r="H12" s="97"/>
      <c r="I12" s="97"/>
      <c r="J12" s="97"/>
      <c r="K12" s="97"/>
      <c r="L12" s="97"/>
      <c r="M12" s="97"/>
      <c r="N12" s="97"/>
      <c r="O12" s="97"/>
      <c r="P12" s="97"/>
    </row>
  </sheetData>
  <mergeCells count="9">
    <mergeCell ref="B2:P4"/>
    <mergeCell ref="B5:P5"/>
    <mergeCell ref="B7:P7"/>
    <mergeCell ref="B9:F9"/>
    <mergeCell ref="B10:F12"/>
    <mergeCell ref="G9:K9"/>
    <mergeCell ref="G10:K12"/>
    <mergeCell ref="L9:P9"/>
    <mergeCell ref="L10:P12"/>
  </mergeCells>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25A50-60F5-40D0-BBA6-6E338A70FA09}">
  <sheetPr codeName="Sheet11"/>
  <dimension ref="A1:B11"/>
  <sheetViews>
    <sheetView showGridLines="0" zoomScale="115" zoomScaleNormal="115" workbookViewId="0">
      <selection activeCell="B3" sqref="B3"/>
    </sheetView>
  </sheetViews>
  <sheetFormatPr defaultRowHeight="14.5"/>
  <cols>
    <col min="1" max="1" width="24.6328125" customWidth="1"/>
    <col min="2" max="2" width="30.6328125" customWidth="1"/>
  </cols>
  <sheetData>
    <row r="1" spans="1:2" ht="21">
      <c r="A1" s="98" t="s">
        <v>3</v>
      </c>
      <c r="B1" s="98"/>
    </row>
    <row r="3" spans="1:2">
      <c r="A3" s="1" t="s">
        <v>4</v>
      </c>
      <c r="B3" s="4" t="s">
        <v>13</v>
      </c>
    </row>
    <row r="4" spans="1:2">
      <c r="A4" s="2" t="s">
        <v>5</v>
      </c>
      <c r="B4" s="5" t="s">
        <v>14</v>
      </c>
    </row>
    <row r="5" spans="1:2">
      <c r="A5" s="2" t="s">
        <v>6</v>
      </c>
      <c r="B5" s="5" t="s">
        <v>15</v>
      </c>
    </row>
    <row r="6" spans="1:2">
      <c r="A6" s="2" t="s">
        <v>7</v>
      </c>
      <c r="B6" s="6" t="s">
        <v>16</v>
      </c>
    </row>
    <row r="7" spans="1:2">
      <c r="A7" s="2" t="s">
        <v>8</v>
      </c>
      <c r="B7" s="5" t="s">
        <v>17</v>
      </c>
    </row>
    <row r="8" spans="1:2">
      <c r="A8" s="2" t="s">
        <v>9</v>
      </c>
      <c r="B8" s="5" t="s">
        <v>18</v>
      </c>
    </row>
    <row r="9" spans="1:2">
      <c r="A9" s="2" t="s">
        <v>10</v>
      </c>
      <c r="B9" s="7">
        <v>0.18</v>
      </c>
    </row>
    <row r="10" spans="1:2">
      <c r="A10" s="2" t="s">
        <v>11</v>
      </c>
      <c r="B10" s="5" t="s">
        <v>19</v>
      </c>
    </row>
    <row r="11" spans="1:2">
      <c r="A11" s="3" t="s">
        <v>12</v>
      </c>
      <c r="B11" s="8">
        <v>10</v>
      </c>
    </row>
  </sheetData>
  <mergeCells count="1">
    <mergeCell ref="A1:B1"/>
  </mergeCells>
  <hyperlinks>
    <hyperlink ref="B6" r:id="rId1" display="mailto:info@smartbizdemo.com" xr:uid="{12B5B369-6E26-43E7-8295-31A6A9EDAAED}"/>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3113E-FB1E-485F-B0BE-676F302F102D}">
  <sheetPr codeName="Sheet12"/>
  <dimension ref="A1:H8"/>
  <sheetViews>
    <sheetView tabSelected="1" topLeftCell="A4" workbookViewId="0">
      <selection activeCell="H9" sqref="H9"/>
    </sheetView>
  </sheetViews>
  <sheetFormatPr defaultRowHeight="14.5"/>
  <cols>
    <col min="1" max="1" width="10.90625" bestFit="1" customWidth="1"/>
    <col min="2" max="2" width="13.54296875" style="102" bestFit="1" customWidth="1"/>
    <col min="3" max="3" width="11" style="103" bestFit="1" customWidth="1"/>
    <col min="4" max="4" width="12.81640625" bestFit="1" customWidth="1"/>
    <col min="5" max="5" width="10.7265625" bestFit="1" customWidth="1"/>
    <col min="6" max="6" width="9.54296875" bestFit="1" customWidth="1"/>
    <col min="7" max="7" width="13.54296875" bestFit="1" customWidth="1"/>
    <col min="8" max="8" width="28.7265625" style="104" bestFit="1" customWidth="1"/>
  </cols>
  <sheetData>
    <row r="1" spans="1:8">
      <c r="A1" t="s">
        <v>227</v>
      </c>
      <c r="B1" s="102" t="s">
        <v>228</v>
      </c>
      <c r="C1" s="103" t="s">
        <v>229</v>
      </c>
      <c r="D1" t="s">
        <v>67</v>
      </c>
      <c r="E1" t="s">
        <v>230</v>
      </c>
      <c r="F1" t="s">
        <v>133</v>
      </c>
      <c r="G1" t="s">
        <v>231</v>
      </c>
      <c r="H1" s="104" t="s">
        <v>232</v>
      </c>
    </row>
    <row r="2" spans="1:8" ht="15" customHeight="1">
      <c r="A2" t="s">
        <v>236</v>
      </c>
      <c r="B2" s="102">
        <v>46251</v>
      </c>
      <c r="C2" s="103">
        <v>0.84851851851851856</v>
      </c>
      <c r="D2" t="s">
        <v>69</v>
      </c>
      <c r="E2" t="s">
        <v>237</v>
      </c>
      <c r="F2" t="s">
        <v>234</v>
      </c>
      <c r="G2" t="s">
        <v>238</v>
      </c>
      <c r="H2" s="104" t="s">
        <v>239</v>
      </c>
    </row>
    <row r="3" spans="1:8">
      <c r="A3" t="s">
        <v>233</v>
      </c>
      <c r="B3" s="102">
        <v>46251</v>
      </c>
      <c r="C3" s="103">
        <v>0.85244212962962962</v>
      </c>
      <c r="D3" t="s">
        <v>69</v>
      </c>
      <c r="E3" t="s">
        <v>243</v>
      </c>
      <c r="F3" t="s">
        <v>244</v>
      </c>
      <c r="G3" t="s">
        <v>240</v>
      </c>
      <c r="H3" s="104" t="s">
        <v>245</v>
      </c>
    </row>
    <row r="4" spans="1:8">
      <c r="A4" t="s">
        <v>235</v>
      </c>
      <c r="B4" s="102">
        <v>46251</v>
      </c>
      <c r="C4" s="103">
        <v>0.85442129629629626</v>
      </c>
      <c r="D4" t="s">
        <v>69</v>
      </c>
      <c r="E4" t="s">
        <v>243</v>
      </c>
      <c r="F4" t="s">
        <v>251</v>
      </c>
      <c r="G4" t="s">
        <v>246</v>
      </c>
      <c r="H4" s="104" t="s">
        <v>252</v>
      </c>
    </row>
    <row r="5" spans="1:8">
      <c r="A5" t="s">
        <v>255</v>
      </c>
      <c r="B5" s="102">
        <v>46251</v>
      </c>
      <c r="C5" s="103">
        <v>0.85815972222222225</v>
      </c>
      <c r="D5" t="s">
        <v>69</v>
      </c>
      <c r="E5" t="s">
        <v>243</v>
      </c>
      <c r="F5" t="s">
        <v>256</v>
      </c>
      <c r="G5" t="s">
        <v>254</v>
      </c>
      <c r="H5" s="104" t="s">
        <v>257</v>
      </c>
    </row>
    <row r="6" spans="1:8" ht="29">
      <c r="A6" t="s">
        <v>260</v>
      </c>
      <c r="B6" s="102">
        <v>46251</v>
      </c>
      <c r="C6" s="103">
        <v>0.86105324074074074</v>
      </c>
      <c r="D6" t="s">
        <v>69</v>
      </c>
      <c r="E6" t="s">
        <v>243</v>
      </c>
      <c r="F6" t="s">
        <v>261</v>
      </c>
      <c r="G6" t="s">
        <v>259</v>
      </c>
      <c r="H6" s="104" t="s">
        <v>262</v>
      </c>
    </row>
    <row r="7" spans="1:8" ht="29">
      <c r="A7" t="s">
        <v>264</v>
      </c>
      <c r="B7" s="102">
        <v>46251</v>
      </c>
      <c r="C7" s="103">
        <v>0.86493055555555554</v>
      </c>
      <c r="D7" t="s">
        <v>69</v>
      </c>
      <c r="E7" t="s">
        <v>265</v>
      </c>
      <c r="F7" t="s">
        <v>141</v>
      </c>
      <c r="G7" t="s">
        <v>259</v>
      </c>
      <c r="H7" s="104" t="s">
        <v>266</v>
      </c>
    </row>
    <row r="8" spans="1:8" ht="72.5">
      <c r="A8" t="s">
        <v>267</v>
      </c>
      <c r="B8" s="102">
        <v>46251</v>
      </c>
      <c r="C8" s="103">
        <v>0.86712962962962958</v>
      </c>
      <c r="D8" t="s">
        <v>69</v>
      </c>
      <c r="E8" t="s">
        <v>268</v>
      </c>
      <c r="F8" t="s">
        <v>269</v>
      </c>
      <c r="G8" t="s">
        <v>259</v>
      </c>
      <c r="H8" s="104" t="s">
        <v>270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EAA3E-21E7-435A-B829-0CE992B19751}">
  <sheetPr codeName="Sheet13"/>
  <dimension ref="A1:A6"/>
  <sheetViews>
    <sheetView workbookViewId="0">
      <selection activeCell="A5" sqref="A5"/>
    </sheetView>
  </sheetViews>
  <sheetFormatPr defaultRowHeight="14.5"/>
  <cols>
    <col min="1" max="1" width="13.1796875" bestFit="1" customWidth="1"/>
  </cols>
  <sheetData>
    <row r="1" spans="1:1">
      <c r="A1" t="s">
        <v>22</v>
      </c>
    </row>
    <row r="2" spans="1:1">
      <c r="A2" t="s">
        <v>32</v>
      </c>
    </row>
    <row r="3" spans="1:1">
      <c r="A3" t="s">
        <v>33</v>
      </c>
    </row>
    <row r="4" spans="1:1">
      <c r="A4" t="s">
        <v>34</v>
      </c>
    </row>
    <row r="5" spans="1:1">
      <c r="A5" t="s">
        <v>35</v>
      </c>
    </row>
    <row r="6" spans="1:1">
      <c r="A6" t="s">
        <v>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HOME</vt:lpstr>
      <vt:lpstr>USER_GUIDE</vt:lpstr>
      <vt:lpstr>PRODUCTS_DB</vt:lpstr>
      <vt:lpstr>CUSTOMERS_DB</vt:lpstr>
      <vt:lpstr>SUPPLIERS_DB</vt:lpstr>
      <vt:lpstr>SALES_DB</vt:lpstr>
      <vt:lpstr>PURCHASE_DB</vt:lpstr>
      <vt:lpstr>INVENTORY</vt:lpstr>
      <vt:lpstr>INVOICE</vt:lpstr>
      <vt:lpstr>DASHBOARD</vt:lpstr>
      <vt:lpstr>REPORTS</vt:lpstr>
      <vt:lpstr>SETTINGS</vt:lpstr>
      <vt:lpstr>AUDIT_LOG</vt:lpstr>
      <vt:lpstr>LOOKUPS</vt:lpstr>
      <vt:lpstr>INVOICE!Print_Area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vallapu janakiram</dc:creator>
  <cp:lastModifiedBy>vallapu janakiram</cp:lastModifiedBy>
  <cp:lastPrinted>2026-08-17T15:18:40Z</cp:lastPrinted>
  <dcterms:created xsi:type="dcterms:W3CDTF">2026-08-14T08:56:18Z</dcterms:created>
  <dcterms:modified xsi:type="dcterms:W3CDTF">2026-08-17T15:20:39Z</dcterms:modified>
</cp:coreProperties>
</file>